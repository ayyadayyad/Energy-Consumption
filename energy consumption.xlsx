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Jupyter\Desktop\"/>
    </mc:Choice>
  </mc:AlternateContent>
  <xr:revisionPtr revIDLastSave="0" documentId="13_ncr:1_{F5B74A74-05AF-478F-A385-94843A1A810E}" xr6:coauthVersionLast="47" xr6:coauthVersionMax="47" xr10:uidLastSave="{00000000-0000-0000-0000-000000000000}"/>
  <bookViews>
    <workbookView xWindow="-113" yWindow="-113" windowWidth="24267" windowHeight="13148" firstSheet="1" activeTab="1" xr2:uid="{75A6CA54-48C1-4C28-9931-BDC440606146}"/>
  </bookViews>
  <sheets>
    <sheet name="Pivots" sheetId="2" state="hidden" r:id="rId1"/>
    <sheet name="Cost" sheetId="3" r:id="rId2"/>
  </sheets>
  <definedNames>
    <definedName name="_xlchart.v6.0" hidden="1">Pivots!$D$1</definedName>
    <definedName name="_xlchart.v6.1" hidden="1">Pivots!$D$2:$D$6</definedName>
    <definedName name="_xlchart.v6.2" hidden="1">Pivots!$E$1</definedName>
    <definedName name="_xlchart.v6.3" hidden="1">Pivots!$E$2:$E$6</definedName>
    <definedName name="_xlchart.v6.4" hidden="1">Pivots!$D$1</definedName>
    <definedName name="_xlchart.v6.5" hidden="1">Pivots!$D$2:$D$6</definedName>
    <definedName name="_xlchart.v6.6" hidden="1">Pivots!$E$1</definedName>
    <definedName name="_xlchart.v6.7" hidden="1">Pivots!$E$2:$E$6</definedName>
    <definedName name="Slicer_Year">#N/A</definedName>
  </definedNames>
  <calcPr calcId="191029"/>
  <pivotCaches>
    <pivotCache cacheId="147" r:id="rId3"/>
    <pivotCache cacheId="150" r:id="rId4"/>
    <pivotCache cacheId="153" r:id="rId5"/>
    <pivotCache cacheId="156" r:id="rId6"/>
    <pivotCache cacheId="159" r:id="rId7"/>
    <pivotCache cacheId="162" r:id="rId8"/>
    <pivotCache cacheId="165" r:id="rId9"/>
    <pivotCache cacheId="168" r:id="rId10"/>
    <pivotCache cacheId="171"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ilding Master_9db55b36-366f-4330-9ef3-30faa14aa83a" name="Building Master" connection="Query - Building Master"/>
          <x15:modelTable id="Rates_03b378f6-2070-4b84-bc7d-e9f0aafa5f3f" name="Rates" connection="Query - Rates"/>
          <x15:modelTable id="Energy Consumptions_840b0a49-5f59-4e09-a426-cf4069674565" name="Energy Consumptions" connection="Query - Energy Consumptions"/>
        </x15:modelTables>
        <x15:modelRelationships>
          <x15:modelRelationship fromTable="Energy Consumptions" fromColumn="Building" toTable="Building Master" toColumn="Building"/>
          <x15:modelRelationship fromTable="Energy Consumptions" fromColumn="Key" toTable="Rates" toColumn="Key"/>
        </x15:modelRelationships>
        <x15:extLst>
          <ext xmlns:x16="http://schemas.microsoft.com/office/spreadsheetml/2014/11/main" uri="{9835A34E-60A6-4A7C-AAB8-D5F71C897F49}">
            <x16:modelTimeGroupings>
              <x16:modelTimeGrouping tableName="Energy Consump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U5" i="2"/>
  <c r="E6" i="2"/>
  <c r="AA5" i="2"/>
  <c r="Y5" i="2"/>
  <c r="W5" i="2"/>
  <c r="T5" i="2"/>
  <c r="V5" i="2"/>
  <c r="E5" i="2"/>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89899D-899C-4ACC-9A5D-573C851E2801}" name="Query - Building Master" description="Connection to the 'Building Master' query in the workbook." type="100" refreshedVersion="8" minRefreshableVersion="5">
    <extLst>
      <ext xmlns:x15="http://schemas.microsoft.com/office/spreadsheetml/2010/11/main" uri="{DE250136-89BD-433C-8126-D09CA5730AF9}">
        <x15:connection id="d4197975-764e-4f3b-9b6f-97c0589e134d">
          <x15:oledbPr connection="Provider=Microsoft.Mashup.OleDb.1;Data Source=$Workbook$;Location=&quot;Building Master&quot;;Extended Properties=&quot;&quot;">
            <x15:dbTables>
              <x15:dbTable name="Building Master"/>
            </x15:dbTables>
          </x15:oledbPr>
        </x15:connection>
      </ext>
    </extLst>
  </connection>
  <connection id="2" xr16:uid="{20581750-5DD0-43D9-9B54-B51229A490B4}" name="Query - Energy Consumptions" description="Connection to the 'Energy Consumptions' query in the workbook." type="100" refreshedVersion="8" minRefreshableVersion="5">
    <extLst>
      <ext xmlns:x15="http://schemas.microsoft.com/office/spreadsheetml/2010/11/main" uri="{DE250136-89BD-433C-8126-D09CA5730AF9}">
        <x15:connection id="b2f7d16e-f227-40f4-8bd1-ecf516ace37a"/>
      </ext>
    </extLst>
  </connection>
  <connection id="3" xr16:uid="{2A4935D7-B7E5-4277-A915-F0326A4DF3E3}" name="Query - Rates" description="Connection to the 'Rates' query in the workbook." type="100" refreshedVersion="8" minRefreshableVersion="5">
    <extLst>
      <ext xmlns:x15="http://schemas.microsoft.com/office/spreadsheetml/2010/11/main" uri="{DE250136-89BD-433C-8126-D09CA5730AF9}">
        <x15:connection id="15a2b898-a298-4362-9cc3-844211d62ac6">
          <x15:oledbPr connection="Provider=Microsoft.Mashup.OleDb.1;Data Source=$Workbook$;Location=Rates;Extended Properties=&quot;&quot;">
            <x15:dbTables>
              <x15:dbTable name="Rates"/>
            </x15:dbTables>
          </x15:oledbPr>
        </x15:connection>
      </ext>
    </extLst>
  </connection>
  <connection id="4" xr16:uid="{2CCC18A1-9DC4-412A-9854-954A63842C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RICHVALUE" minSupportedVersion="120000" copy="1" pasteAll="1" pasteValues="1" merge="1" splitFirst="1" rowColShift="1" clearFormats="1" clearComments="1" assign="1" coerce="1"/>
    <metadataType name="XLMDX" minSupportedVersion="120000" copy="1" pasteAll="1" pasteValues="1" merge="1" splitFirst="1" rowColShift="1" clearFormats="1" clearComments="1" assign="1" coerce="1"/>
  </metadataTypes>
  <metadataStrings count="4">
    <s v="ThisWorkbookDataModel"/>
    <s v="{[Rates].[Energy Type].&amp;[Electricity]}"/>
    <s v="{[Rates].[Energy Type].&amp;[Gas]}"/>
    <s v="{[Rates].[Energy Type].&amp;[Water]}"/>
  </metadataStrings>
  <mdxMetadata count="3">
    <mdx n="0" f="s">
      <ms ns="1" c="0"/>
    </mdx>
    <mdx n="0" f="s">
      <ms ns="2" c="0"/>
    </mdx>
    <mdx n="0" f="s">
      <ms ns="3" c="0"/>
    </mdx>
  </mdxMetadata>
  <futureMetadata name="XLRICHVALUE" count="5">
    <bk>
      <extLst>
        <ext uri="{3e2802c4-a4d2-4d8b-9148-e3be6c30e623}">
          <xlrd:rvb i="0"/>
        </ext>
      </extLst>
    </bk>
    <bk>
      <extLst>
        <ext uri="{3e2802c4-a4d2-4d8b-9148-e3be6c30e623}">
          <xlrd:rvb i="39"/>
        </ext>
      </extLst>
    </bk>
    <bk>
      <extLst>
        <ext uri="{3e2802c4-a4d2-4d8b-9148-e3be6c30e623}">
          <xlrd:rvb i="73"/>
        </ext>
      </extLst>
    </bk>
    <bk>
      <extLst>
        <ext uri="{3e2802c4-a4d2-4d8b-9148-e3be6c30e623}">
          <xlrd:rvb i="108"/>
        </ext>
      </extLst>
    </bk>
    <bk>
      <extLst>
        <ext uri="{3e2802c4-a4d2-4d8b-9148-e3be6c30e623}">
          <xlrd:rvb i="142"/>
        </ext>
      </extLst>
    </bk>
  </futureMetadata>
  <valueMetadata count="8">
    <bk>
      <rc t="2" v="0"/>
    </bk>
    <bk>
      <rc t="2" v="1"/>
    </bk>
    <bk>
      <rc t="2" v="2"/>
    </bk>
    <bk>
      <rc t="1" v="0"/>
    </bk>
    <bk>
      <rc t="1" v="1"/>
    </bk>
    <bk>
      <rc t="1" v="2"/>
    </bk>
    <bk>
      <rc t="1" v="3"/>
    </bk>
    <bk>
      <rc t="1" v="4"/>
    </bk>
  </valueMetadata>
</metadata>
</file>

<file path=xl/sharedStrings.xml><?xml version="1.0" encoding="utf-8"?>
<sst xmlns="http://schemas.openxmlformats.org/spreadsheetml/2006/main" count="178" uniqueCount="41">
  <si>
    <t>Total Cost</t>
  </si>
  <si>
    <t>Row Labels</t>
  </si>
  <si>
    <t>B1006</t>
  </si>
  <si>
    <t>Grand Total</t>
  </si>
  <si>
    <t>Chicago</t>
  </si>
  <si>
    <t>Houston</t>
  </si>
  <si>
    <t>Los Angeles</t>
  </si>
  <si>
    <t>New York</t>
  </si>
  <si>
    <t>Phoenix</t>
  </si>
  <si>
    <t>Cost</t>
  </si>
  <si>
    <t>State</t>
  </si>
  <si>
    <t>2016</t>
  </si>
  <si>
    <t>Qtr1</t>
  </si>
  <si>
    <t>Jan</t>
  </si>
  <si>
    <t>Feb</t>
  </si>
  <si>
    <t>Mar</t>
  </si>
  <si>
    <t>Qtr2</t>
  </si>
  <si>
    <t>Apr</t>
  </si>
  <si>
    <t>May</t>
  </si>
  <si>
    <t>Jun</t>
  </si>
  <si>
    <t>Qtr3</t>
  </si>
  <si>
    <t>Jul</t>
  </si>
  <si>
    <t>Aug</t>
  </si>
  <si>
    <t>Sep</t>
  </si>
  <si>
    <t>Qtr4</t>
  </si>
  <si>
    <t>Oct</t>
  </si>
  <si>
    <t>Nov</t>
  </si>
  <si>
    <t>Dec</t>
  </si>
  <si>
    <t>Median Cost</t>
  </si>
  <si>
    <t>Electricity</t>
  </si>
  <si>
    <t>Gas</t>
  </si>
  <si>
    <t>Water</t>
  </si>
  <si>
    <t>Energy Type</t>
  </si>
  <si>
    <t>Number of Buildings</t>
  </si>
  <si>
    <t>B1008</t>
  </si>
  <si>
    <t>B1001</t>
  </si>
  <si>
    <t>B1000</t>
  </si>
  <si>
    <t>B1003</t>
  </si>
  <si>
    <t>2017</t>
  </si>
  <si>
    <t>2018</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</si>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</sst>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0\);\$#,##0.0"/>
    <numFmt numFmtId="165" formatCode="\$#,##0;\(\$#,##0\);\$#,##0"/>
    <numFmt numFmtId="166" formatCode="_(&quot;$&quot;* #,##0_);_(&quot;$&quot;* \(#,##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0" fontId="0" fillId="0" borderId="0" xfId="0" applyAlignment="1">
      <alignment horizontal="left" indent="1"/>
    </xf>
    <xf numFmtId="0" fontId="0" fillId="0" borderId="0" xfId="0" applyAlignment="1">
      <alignment horizontal="left" indent="2"/>
    </xf>
    <xf numFmtId="10" fontId="0" fillId="0" borderId="0" xfId="0" applyNumberFormat="1"/>
    <xf numFmtId="0" fontId="0" fillId="0" borderId="0" xfId="0" applyNumberFormat="1"/>
  </cellXfs>
  <cellStyles count="2">
    <cellStyle name="Currency" xfId="1" builtinId="4"/>
    <cellStyle name="Normal" xfId="0" builtinId="0"/>
  </cellStyles>
  <dxfs count="1">
    <dxf>
      <fill>
        <patternFill patternType="solid">
          <bgColor theme="0"/>
        </patternFill>
      </fill>
    </dxf>
  </dxfs>
  <tableStyles count="1" defaultTableStyle="TableStyleMedium2" defaultPivotStyle="PivotStyleLight16">
    <tableStyle name="Slicer Style 1" pivot="0" table="0" count="2" xr9:uid="{62CFA670-86EA-4A3F-8DA8-786E18AE710B}">
      <tableStyleElement type="wholeTable" dxfId="0"/>
    </tableStyle>
  </tableStyles>
  <colors>
    <mruColors>
      <color rgb="FFF8F8F8"/>
    </mruColors>
  </colors>
  <extLst>
    <ext xmlns:x14="http://schemas.microsoft.com/office/spreadsheetml/2009/9/main" uri="{46F421CA-312F-682f-3DD2-61675219B42D}">
      <x14:dxfs count="1">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eetMetadata" Target="metadata.xml"/><Relationship Id="rId26" Type="http://schemas.microsoft.com/office/2017/06/relationships/rdRichValueTypes" Target="richData/rdRichValueTypes.xml"/><Relationship Id="rId39" Type="http://schemas.openxmlformats.org/officeDocument/2006/relationships/customXml" Target="../customXml/item11.xml"/><Relationship Id="rId21" Type="http://schemas.microsoft.com/office/2017/06/relationships/rdRichValueStructure" Target="richData/rdrichvaluestructure.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xml"/><Relationship Id="rId11" Type="http://schemas.openxmlformats.org/officeDocument/2006/relationships/pivotCacheDefinition" Target="pivotCache/pivotCacheDefinition9.xml"/><Relationship Id="rId24" Type="http://schemas.microsoft.com/office/2017/06/relationships/rdSupportingPropertyBagStructure" Target="richData/rdsupportingpropertybagstructure.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microsoft.com/office/2020/07/relationships/rdRichValueWebImage" Target="richData/rdRichValueWebImage.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microsoft.com/office/2017/06/relationships/rdArray" Target="richData/rdarray.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6.xml"/><Relationship Id="rId51" Type="http://schemas.openxmlformats.org/officeDocument/2006/relationships/customXml" Target="../customXml/item23.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aredStrings" Target="sharedStrings.xml"/><Relationship Id="rId25" Type="http://schemas.microsoft.com/office/2017/06/relationships/rdSupportingPropertyBag" Target="richData/rdsupportingpropertybag.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7/06/relationships/rdRichValue" Target="richData/rdrichvalue.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connections" Target="connections.xml"/><Relationship Id="rId23" Type="http://schemas.microsoft.com/office/2017/06/relationships/richStyles" Target="richData/richStyle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consumption.xlsx]Pivots!PivotTable5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Pivots!$H$1</c:f>
              <c:strCache>
                <c:ptCount val="1"/>
                <c:pt idx="0">
                  <c:v>Total</c:v>
                </c:pt>
              </c:strCache>
            </c:strRef>
          </c:tx>
          <c:spPr>
            <a:ln w="28575" cap="rnd">
              <a:solidFill>
                <a:schemeClr val="accent1"/>
              </a:solidFill>
              <a:round/>
            </a:ln>
            <a:effectLst/>
          </c:spPr>
          <c:marker>
            <c:symbol val="none"/>
          </c:marker>
          <c:cat>
            <c:multiLvlStrRef>
              <c:f>Pivots!$G$2:$G$70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2016</c:v>
                  </c:pt>
                  <c:pt idx="12">
                    <c:v>2017</c:v>
                  </c:pt>
                  <c:pt idx="24">
                    <c:v>2018</c:v>
                  </c:pt>
                  <c:pt idx="36">
                    <c:v>2019</c:v>
                  </c:pt>
                </c:lvl>
              </c:multiLvlStrCache>
            </c:multiLvlStrRef>
          </c:cat>
          <c:val>
            <c:numRef>
              <c:f>Pivots!$H$2:$H$70</c:f>
              <c:numCache>
                <c:formatCode>\$#,##0.0;\(\$#,##0.0\);\$#,##0.0</c:formatCode>
                <c:ptCount val="48"/>
                <c:pt idx="0">
                  <c:v>3378</c:v>
                </c:pt>
                <c:pt idx="1">
                  <c:v>3977.52</c:v>
                </c:pt>
                <c:pt idx="2">
                  <c:v>3773</c:v>
                </c:pt>
                <c:pt idx="3">
                  <c:v>3807.76</c:v>
                </c:pt>
                <c:pt idx="4">
                  <c:v>4374</c:v>
                </c:pt>
                <c:pt idx="5">
                  <c:v>3941.52</c:v>
                </c:pt>
                <c:pt idx="6">
                  <c:v>4540</c:v>
                </c:pt>
                <c:pt idx="7">
                  <c:v>3951.52</c:v>
                </c:pt>
                <c:pt idx="8">
                  <c:v>4312</c:v>
                </c:pt>
                <c:pt idx="9">
                  <c:v>4083</c:v>
                </c:pt>
                <c:pt idx="10">
                  <c:v>3992.88</c:v>
                </c:pt>
                <c:pt idx="11">
                  <c:v>4541</c:v>
                </c:pt>
                <c:pt idx="12">
                  <c:v>4448.6640000000007</c:v>
                </c:pt>
                <c:pt idx="13">
                  <c:v>5714.5000000000009</c:v>
                </c:pt>
                <c:pt idx="14">
                  <c:v>4422.0880000000006</c:v>
                </c:pt>
                <c:pt idx="15">
                  <c:v>4649.5680000000002</c:v>
                </c:pt>
                <c:pt idx="16">
                  <c:v>5321.8</c:v>
                </c:pt>
                <c:pt idx="17">
                  <c:v>5945.5000000000009</c:v>
                </c:pt>
                <c:pt idx="18">
                  <c:v>5259.1</c:v>
                </c:pt>
                <c:pt idx="19">
                  <c:v>4734.2240000000002</c:v>
                </c:pt>
                <c:pt idx="20">
                  <c:v>5032.5</c:v>
                </c:pt>
                <c:pt idx="21">
                  <c:v>5648.5000000000009</c:v>
                </c:pt>
                <c:pt idx="22">
                  <c:v>5333.9000000000005</c:v>
                </c:pt>
                <c:pt idx="23">
                  <c:v>4768.5</c:v>
                </c:pt>
                <c:pt idx="24">
                  <c:v>6046.3700000000008</c:v>
                </c:pt>
                <c:pt idx="25">
                  <c:v>5811.630000000001</c:v>
                </c:pt>
                <c:pt idx="26">
                  <c:v>6469.8700000000008</c:v>
                </c:pt>
                <c:pt idx="27">
                  <c:v>6861.9100000000008</c:v>
                </c:pt>
                <c:pt idx="28">
                  <c:v>6138.3300000000008</c:v>
                </c:pt>
                <c:pt idx="29">
                  <c:v>5890.2800000000007</c:v>
                </c:pt>
                <c:pt idx="30">
                  <c:v>6870.380000000001</c:v>
                </c:pt>
                <c:pt idx="31">
                  <c:v>6128.6500000000005</c:v>
                </c:pt>
                <c:pt idx="32">
                  <c:v>6837.7100000000009</c:v>
                </c:pt>
                <c:pt idx="33">
                  <c:v>6521.9000000000015</c:v>
                </c:pt>
                <c:pt idx="34">
                  <c:v>5904.8000000000011</c:v>
                </c:pt>
                <c:pt idx="35">
                  <c:v>6260.5400000000009</c:v>
                </c:pt>
                <c:pt idx="36">
                  <c:v>7256.6120000000019</c:v>
                </c:pt>
                <c:pt idx="37">
                  <c:v>6953.1440000000021</c:v>
                </c:pt>
                <c:pt idx="38">
                  <c:v>7453.6000000000022</c:v>
                </c:pt>
                <c:pt idx="39">
                  <c:v>7182.0760000000018</c:v>
                </c:pt>
                <c:pt idx="40">
                  <c:v>7493.5300000000025</c:v>
                </c:pt>
                <c:pt idx="41">
                  <c:v>8523.724000000002</c:v>
                </c:pt>
                <c:pt idx="42">
                  <c:v>8872.4460000000036</c:v>
                </c:pt>
                <c:pt idx="43">
                  <c:v>7248.626000000002</c:v>
                </c:pt>
                <c:pt idx="44">
                  <c:v>8419.9060000000027</c:v>
                </c:pt>
                <c:pt idx="45">
                  <c:v>8180.3260000000028</c:v>
                </c:pt>
                <c:pt idx="46">
                  <c:v>7440.2900000000027</c:v>
                </c:pt>
                <c:pt idx="47">
                  <c:v>7225.9990000000025</c:v>
                </c:pt>
              </c:numCache>
            </c:numRef>
          </c:val>
          <c:smooth val="0"/>
          <c:extLst>
            <c:ext xmlns:c16="http://schemas.microsoft.com/office/drawing/2014/chart" uri="{C3380CC4-5D6E-409C-BE32-E72D297353CC}">
              <c16:uniqueId val="{00000000-6B3A-41DF-8366-A8A0A25000D1}"/>
            </c:ext>
          </c:extLst>
        </c:ser>
        <c:dLbls>
          <c:showLegendKey val="0"/>
          <c:showVal val="0"/>
          <c:showCatName val="0"/>
          <c:showSerName val="0"/>
          <c:showPercent val="0"/>
          <c:showBubbleSize val="0"/>
        </c:dLbls>
        <c:smooth val="0"/>
        <c:axId val="1181287744"/>
        <c:axId val="1181308864"/>
      </c:lineChart>
      <c:catAx>
        <c:axId val="118128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308864"/>
        <c:crosses val="autoZero"/>
        <c:auto val="1"/>
        <c:lblAlgn val="ctr"/>
        <c:lblOffset val="100"/>
        <c:noMultiLvlLbl val="0"/>
      </c:catAx>
      <c:valAx>
        <c:axId val="118130886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8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consumption.xlsx]Pivots!PivotTable6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c:f>
              <c:strCache>
                <c:ptCount val="1"/>
                <c:pt idx="0">
                  <c:v>Total</c:v>
                </c:pt>
              </c:strCache>
            </c:strRef>
          </c:tx>
          <c:spPr>
            <a:solidFill>
              <a:schemeClr val="accent1"/>
            </a:solidFill>
            <a:ln>
              <a:noFill/>
            </a:ln>
            <a:effectLst/>
          </c:spPr>
          <c:invertIfNegative val="0"/>
          <c:cat>
            <c:multiLvlStrRef>
              <c:f>Pivots!$J$2:$J$70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2016</c:v>
                  </c:pt>
                  <c:pt idx="12">
                    <c:v>2017</c:v>
                  </c:pt>
                  <c:pt idx="24">
                    <c:v>2018</c:v>
                  </c:pt>
                  <c:pt idx="36">
                    <c:v>2019</c:v>
                  </c:pt>
                </c:lvl>
              </c:multiLvlStrCache>
            </c:multiLvlStrRef>
          </c:cat>
          <c:val>
            <c:numRef>
              <c:f>Pivots!$K$2:$K$70</c:f>
              <c:numCache>
                <c:formatCode>0.00%</c:formatCode>
                <c:ptCount val="48"/>
                <c:pt idx="1">
                  <c:v>1.8144021198072725E-2</c:v>
                </c:pt>
                <c:pt idx="2">
                  <c:v>2.4703059468592324E-2</c:v>
                </c:pt>
                <c:pt idx="4">
                  <c:v>0.13712007988726618</c:v>
                </c:pt>
                <c:pt idx="5">
                  <c:v>-5.6745546712106673E-2</c:v>
                </c:pt>
                <c:pt idx="7">
                  <c:v>-3.4256405283296168E-2</c:v>
                </c:pt>
                <c:pt idx="8">
                  <c:v>1.5410083394839475E-2</c:v>
                </c:pt>
                <c:pt idx="10">
                  <c:v>-0.12554583925937959</c:v>
                </c:pt>
                <c:pt idx="11">
                  <c:v>0.12469438727008643</c:v>
                </c:pt>
                <c:pt idx="13">
                  <c:v>-5.8783199774078192E-2</c:v>
                </c:pt>
                <c:pt idx="14">
                  <c:v>-9.4842584125348406E-2</c:v>
                </c:pt>
                <c:pt idx="16">
                  <c:v>-6.8941504773561993E-2</c:v>
                </c:pt>
                <c:pt idx="17">
                  <c:v>-5.9523675839725523E-2</c:v>
                </c:pt>
                <c:pt idx="19">
                  <c:v>-3.9482562302397002E-2</c:v>
                </c:pt>
                <c:pt idx="20">
                  <c:v>7.0019657655175441E-2</c:v>
                </c:pt>
                <c:pt idx="22">
                  <c:v>4.9274012287314248E-2</c:v>
                </c:pt>
                <c:pt idx="23">
                  <c:v>-5.8145864558744466E-2</c:v>
                </c:pt>
                <c:pt idx="25">
                  <c:v>0.12275860938076778</c:v>
                </c:pt>
                <c:pt idx="26">
                  <c:v>-0.10220463074946368</c:v>
                </c:pt>
                <c:pt idx="28">
                  <c:v>-0.12626024344229173</c:v>
                </c:pt>
                <c:pt idx="29">
                  <c:v>3.7573274030354709E-2</c:v>
                </c:pt>
                <c:pt idx="31">
                  <c:v>-2.9210086857172034E-2</c:v>
                </c:pt>
                <c:pt idx="32">
                  <c:v>-8.4162729705693579E-2</c:v>
                </c:pt>
                <c:pt idx="34">
                  <c:v>3.0924356895048678E-3</c:v>
                </c:pt>
                <c:pt idx="35">
                  <c:v>-7.268295584995501E-3</c:v>
                </c:pt>
                <c:pt idx="37">
                  <c:v>-6.5848565786355831E-3</c:v>
                </c:pt>
                <c:pt idx="38">
                  <c:v>2.7285121416119593E-2</c:v>
                </c:pt>
                <c:pt idx="40">
                  <c:v>-1.1833108184134501E-2</c:v>
                </c:pt>
                <c:pt idx="41">
                  <c:v>5.7951059198603612E-2</c:v>
                </c:pt>
                <c:pt idx="43">
                  <c:v>-7.0990932530926407E-2</c:v>
                </c:pt>
                <c:pt idx="44">
                  <c:v>0.10181891944011671</c:v>
                </c:pt>
                <c:pt idx="46">
                  <c:v>-4.2971312229021135E-3</c:v>
                </c:pt>
                <c:pt idx="47">
                  <c:v>-2.2752325649749161E-2</c:v>
                </c:pt>
              </c:numCache>
            </c:numRef>
          </c:val>
          <c:extLst>
            <c:ext xmlns:c16="http://schemas.microsoft.com/office/drawing/2014/chart" uri="{C3380CC4-5D6E-409C-BE32-E72D297353CC}">
              <c16:uniqueId val="{00000000-7F00-4521-AF8E-A7E6A66419D5}"/>
            </c:ext>
          </c:extLst>
        </c:ser>
        <c:dLbls>
          <c:showLegendKey val="0"/>
          <c:showVal val="0"/>
          <c:showCatName val="0"/>
          <c:showSerName val="0"/>
          <c:showPercent val="0"/>
          <c:showBubbleSize val="0"/>
        </c:dLbls>
        <c:gapWidth val="150"/>
        <c:axId val="100072848"/>
        <c:axId val="100075248"/>
      </c:barChart>
      <c:catAx>
        <c:axId val="10007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5248"/>
        <c:crosses val="autoZero"/>
        <c:auto val="1"/>
        <c:lblAlgn val="ctr"/>
        <c:lblOffset val="100"/>
        <c:noMultiLvlLbl val="0"/>
      </c:catAx>
      <c:valAx>
        <c:axId val="100075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consumption.xlsx]Pivots!PivotTable7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Pivots!$N$1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Pivots!$M$2:$M$5</c:f>
              <c:strCache>
                <c:ptCount val="3"/>
                <c:pt idx="0">
                  <c:v>Electricity</c:v>
                </c:pt>
                <c:pt idx="1">
                  <c:v>Gas</c:v>
                </c:pt>
                <c:pt idx="2">
                  <c:v>Water</c:v>
                </c:pt>
              </c:strCache>
            </c:strRef>
          </c:cat>
          <c:val>
            <c:numRef>
              <c:f>Pivots!$N$2:$N$5</c:f>
              <c:numCache>
                <c:formatCode>\$#,##0;\(\$#,##0\);\$#,##0</c:formatCode>
                <c:ptCount val="3"/>
                <c:pt idx="0">
                  <c:v>2025296.0222400012</c:v>
                </c:pt>
                <c:pt idx="1">
                  <c:v>3011010.8740000008</c:v>
                </c:pt>
                <c:pt idx="2">
                  <c:v>10806192.066999994</c:v>
                </c:pt>
              </c:numCache>
            </c:numRef>
          </c:val>
          <c:extLst>
            <c:ext xmlns:c16="http://schemas.microsoft.com/office/drawing/2014/chart" uri="{C3380CC4-5D6E-409C-BE32-E72D297353CC}">
              <c16:uniqueId val="{00000006-ADDE-42BF-95AA-38F2D026E7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consumption.xlsx]Pivots!PivotTable8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Pivots!$Q$1</c:f>
              <c:strCache>
                <c:ptCount val="1"/>
                <c:pt idx="0">
                  <c:v>Total</c:v>
                </c:pt>
              </c:strCache>
            </c:strRef>
          </c:tx>
          <c:spPr>
            <a:solidFill>
              <a:schemeClr val="accent1"/>
            </a:solidFill>
            <a:ln>
              <a:noFill/>
            </a:ln>
            <a:effectLst/>
          </c:spPr>
          <c:invertIfNegative val="0"/>
          <c:cat>
            <c:strRef>
              <c:f>Pivots!$P$2:$P$7</c:f>
              <c:strCache>
                <c:ptCount val="5"/>
                <c:pt idx="0">
                  <c:v>B1008</c:v>
                </c:pt>
                <c:pt idx="1">
                  <c:v>B1006</c:v>
                </c:pt>
                <c:pt idx="2">
                  <c:v>B1001</c:v>
                </c:pt>
                <c:pt idx="3">
                  <c:v>B1000</c:v>
                </c:pt>
                <c:pt idx="4">
                  <c:v>B1003</c:v>
                </c:pt>
              </c:strCache>
            </c:strRef>
          </c:cat>
          <c:val>
            <c:numRef>
              <c:f>Pivots!$Q$2:$Q$7</c:f>
              <c:numCache>
                <c:formatCode>\$#,##0;\(\$#,##0\);\$#,##0</c:formatCode>
                <c:ptCount val="5"/>
                <c:pt idx="0">
                  <c:v>1496830.0949699997</c:v>
                </c:pt>
                <c:pt idx="1">
                  <c:v>1479068.1107600005</c:v>
                </c:pt>
                <c:pt idx="2">
                  <c:v>1477667.4815200011</c:v>
                </c:pt>
                <c:pt idx="3">
                  <c:v>1468356.7158700004</c:v>
                </c:pt>
                <c:pt idx="4">
                  <c:v>1461989.7927200007</c:v>
                </c:pt>
              </c:numCache>
            </c:numRef>
          </c:val>
          <c:extLst>
            <c:ext xmlns:c16="http://schemas.microsoft.com/office/drawing/2014/chart" uri="{C3380CC4-5D6E-409C-BE32-E72D297353CC}">
              <c16:uniqueId val="{00000000-2C37-4737-80E8-3981BA4240BC}"/>
            </c:ext>
          </c:extLst>
        </c:ser>
        <c:dLbls>
          <c:showLegendKey val="0"/>
          <c:showVal val="0"/>
          <c:showCatName val="0"/>
          <c:showSerName val="0"/>
          <c:showPercent val="0"/>
          <c:showBubbleSize val="0"/>
        </c:dLbls>
        <c:gapWidth val="182"/>
        <c:axId val="2110006927"/>
        <c:axId val="325800688"/>
      </c:barChart>
      <c:catAx>
        <c:axId val="211000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800688"/>
        <c:crosses val="autoZero"/>
        <c:auto val="1"/>
        <c:lblAlgn val="ctr"/>
        <c:lblOffset val="100"/>
        <c:noMultiLvlLbl val="0"/>
      </c:catAx>
      <c:valAx>
        <c:axId val="3258006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0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consumption.xlsx]Pivots!PivotTable7</c:name>
    <c:fmtId val="4"/>
  </c:pivotSource>
  <c:chart>
    <c:autoTitleDeleted val="1"/>
    <c:pivotFmts>
      <c:pivotFmt>
        <c:idx val="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pieChart>
        <c:varyColors val="1"/>
        <c:ser>
          <c:idx val="0"/>
          <c:order val="0"/>
          <c:tx>
            <c:strRef>
              <c:f>Pivots!$N$1</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Pivots!$M$2:$M$5</c:f>
              <c:strCache>
                <c:ptCount val="3"/>
                <c:pt idx="0">
                  <c:v>Electricity</c:v>
                </c:pt>
                <c:pt idx="1">
                  <c:v>Gas</c:v>
                </c:pt>
                <c:pt idx="2">
                  <c:v>Water</c:v>
                </c:pt>
              </c:strCache>
            </c:strRef>
          </c:cat>
          <c:val>
            <c:numRef>
              <c:f>Pivots!$N$2:$N$5</c:f>
              <c:numCache>
                <c:formatCode>\$#,##0;\(\$#,##0\);\$#,##0</c:formatCode>
                <c:ptCount val="3"/>
                <c:pt idx="0">
                  <c:v>2025296.0222400012</c:v>
                </c:pt>
                <c:pt idx="1">
                  <c:v>3011010.8740000008</c:v>
                </c:pt>
                <c:pt idx="2">
                  <c:v>10806192.066999994</c:v>
                </c:pt>
              </c:numCache>
            </c:numRef>
          </c:val>
          <c:extLst>
            <c:ext xmlns:c16="http://schemas.microsoft.com/office/drawing/2014/chart" uri="{C3380CC4-5D6E-409C-BE32-E72D297353CC}">
              <c16:uniqueId val="{00000006-9CBB-44C6-97A1-2B4BA31ABAB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consumption.xlsx]Pivots!PivotTable8</c:name>
    <c:fmtId val="4"/>
  </c:pivotSource>
  <c:chart>
    <c:autoTitleDeleted val="1"/>
    <c:pivotFmts>
      <c:pivotFmt>
        <c:idx val="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clip" horzOverflow="clip" vert="horz" wrap="square" anchor="ctr" anchorCtr="1">
              <a:no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71009007694648962"/>
                  <c:h val="0.17856985993438754"/>
                </c:manualLayout>
              </c15:layout>
            </c:ext>
          </c:extLst>
        </c:dLbl>
      </c:pivotFmt>
      <c:pivotFmt>
        <c:idx val="4"/>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55036133910536811"/>
                  <c:h val="0.17856985993438754"/>
                </c:manualLayout>
              </c15:layout>
            </c:ext>
          </c:extLst>
        </c:dLbl>
      </c:pivotFmt>
      <c:pivotFmt>
        <c:idx val="5"/>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55036133910536811"/>
                  <c:h val="0.17856985993438754"/>
                </c:manualLayout>
              </c15:layout>
            </c:ext>
          </c:extLst>
        </c:dLbl>
      </c:pivotFmt>
      <c:pivotFmt>
        <c:idx val="6"/>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45132952164387286"/>
                  <c:h val="0.17856985993438754"/>
                </c:manualLayout>
              </c15:layout>
            </c:ext>
          </c:extLst>
        </c:dLbl>
      </c:pivotFmt>
      <c:pivotFmt>
        <c:idx val="7"/>
        <c:spPr>
          <a:solidFill>
            <a:schemeClr val="accent6"/>
          </a:solidFill>
          <a:ln>
            <a:noFill/>
          </a:ln>
          <a:effectLst/>
        </c:spPr>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39063260126424665"/>
                  <c:h val="0.17856985993438754"/>
                </c:manualLayout>
              </c15:layout>
            </c:ext>
          </c:extLst>
        </c:dLbl>
      </c:pivotFmt>
      <c:pivotFmt>
        <c:idx val="8"/>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059289254613295"/>
                  <c:h val="0.18174539631705364"/>
                </c:manualLayout>
              </c15:layout>
            </c:ext>
          </c:extLst>
        </c:dLbl>
      </c:pivotFmt>
    </c:pivotFmts>
    <c:plotArea>
      <c:layout/>
      <c:barChart>
        <c:barDir val="bar"/>
        <c:grouping val="clustered"/>
        <c:varyColors val="0"/>
        <c:ser>
          <c:idx val="0"/>
          <c:order val="0"/>
          <c:tx>
            <c:strRef>
              <c:f>Pivots!$Q$1</c:f>
              <c:strCache>
                <c:ptCount val="1"/>
                <c:pt idx="0">
                  <c:v>Total</c:v>
                </c:pt>
              </c:strCache>
            </c:strRef>
          </c:tx>
          <c:spPr>
            <a:solidFill>
              <a:schemeClr val="accent6"/>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Lbls>
            <c:dLbl>
              <c:idx val="0"/>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71009007694648962"/>
                      <c:h val="0.17856985993438754"/>
                    </c:manualLayout>
                  </c15:layout>
                </c:ext>
              </c:extLst>
            </c:dLbl>
            <c:dLbl>
              <c:idx val="1"/>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55036133910536811"/>
                      <c:h val="0.17856985993438754"/>
                    </c:manualLayout>
                  </c15:layout>
                </c:ext>
              </c:extLst>
            </c:dLbl>
            <c:dLbl>
              <c:idx val="2"/>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55036133910536811"/>
                      <c:h val="0.17856985993438754"/>
                    </c:manualLayout>
                  </c15:layout>
                </c:ext>
              </c:extLst>
            </c:dLbl>
            <c:dLbl>
              <c:idx val="3"/>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45132952164387286"/>
                      <c:h val="0.17856985993438754"/>
                    </c:manualLayout>
                  </c15:layout>
                </c:ext>
              </c:extLst>
            </c:dLbl>
            <c:dLbl>
              <c:idx val="4"/>
              <c:spPr>
                <a:noFill/>
                <a:ln>
                  <a:noFill/>
                </a:ln>
                <a:effectLst/>
              </c:spPr>
              <c:txPr>
                <a:bodyPr rot="0" spcFirstLastPara="1" vertOverflow="clip" horzOverflow="clip" vert="horz" wrap="square" anchor="ctr" anchorCtr="0">
                  <a:no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layout>
                    <c:manualLayout>
                      <c:w val="0.39063260126424665"/>
                      <c:h val="0.17856985993438754"/>
                    </c:manualLayout>
                  </c15:layout>
                </c:ext>
              </c:extLst>
            </c:dLbl>
            <c:spPr>
              <a:noFill/>
              <a:ln>
                <a:noFill/>
              </a:ln>
              <a:effectLst/>
            </c:spPr>
            <c:txPr>
              <a:bodyPr rot="0" spcFirstLastPara="1" vertOverflow="clip" horzOverflow="clip" vert="horz" wrap="square" anchor="ctr" anchorCtr="1">
                <a:no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Pivots!$P$2:$P$7</c:f>
              <c:strCache>
                <c:ptCount val="5"/>
                <c:pt idx="0">
                  <c:v>B1008</c:v>
                </c:pt>
                <c:pt idx="1">
                  <c:v>B1006</c:v>
                </c:pt>
                <c:pt idx="2">
                  <c:v>B1001</c:v>
                </c:pt>
                <c:pt idx="3">
                  <c:v>B1000</c:v>
                </c:pt>
                <c:pt idx="4">
                  <c:v>B1003</c:v>
                </c:pt>
              </c:strCache>
            </c:strRef>
          </c:cat>
          <c:val>
            <c:numRef>
              <c:f>Pivots!$Q$2:$Q$7</c:f>
              <c:numCache>
                <c:formatCode>\$#,##0;\(\$#,##0\);\$#,##0</c:formatCode>
                <c:ptCount val="5"/>
                <c:pt idx="0">
                  <c:v>1496830.0949699997</c:v>
                </c:pt>
                <c:pt idx="1">
                  <c:v>1479068.1107600005</c:v>
                </c:pt>
                <c:pt idx="2">
                  <c:v>1477667.4815200011</c:v>
                </c:pt>
                <c:pt idx="3">
                  <c:v>1468356.7158700004</c:v>
                </c:pt>
                <c:pt idx="4">
                  <c:v>1461989.7927200007</c:v>
                </c:pt>
              </c:numCache>
            </c:numRef>
          </c:val>
          <c:extLst>
            <c:ext xmlns:c16="http://schemas.microsoft.com/office/drawing/2014/chart" uri="{C3380CC4-5D6E-409C-BE32-E72D297353CC}">
              <c16:uniqueId val="{00000002-C456-46CE-B851-6F1FACFD7CDA}"/>
            </c:ext>
          </c:extLst>
        </c:ser>
        <c:dLbls>
          <c:dLblPos val="inBase"/>
          <c:showLegendKey val="0"/>
          <c:showVal val="1"/>
          <c:showCatName val="0"/>
          <c:showSerName val="0"/>
          <c:showPercent val="0"/>
          <c:showBubbleSize val="0"/>
        </c:dLbls>
        <c:gapWidth val="182"/>
        <c:axId val="2110006927"/>
        <c:axId val="325800688"/>
      </c:barChart>
      <c:catAx>
        <c:axId val="2110006927"/>
        <c:scaling>
          <c:orientation val="minMax"/>
        </c:scaling>
        <c:delete val="1"/>
        <c:axPos val="l"/>
        <c:numFmt formatCode="General" sourceLinked="1"/>
        <c:majorTickMark val="none"/>
        <c:minorTickMark val="none"/>
        <c:tickLblPos val="nextTo"/>
        <c:crossAx val="325800688"/>
        <c:crosses val="autoZero"/>
        <c:auto val="1"/>
        <c:lblAlgn val="ctr"/>
        <c:lblOffset val="100"/>
        <c:noMultiLvlLbl val="0"/>
      </c:catAx>
      <c:valAx>
        <c:axId val="325800688"/>
        <c:scaling>
          <c:orientation val="minMax"/>
        </c:scaling>
        <c:delete val="1"/>
        <c:axPos val="b"/>
        <c:numFmt formatCode="\$#,##0;\(\$#,##0\);\$#,##0" sourceLinked="1"/>
        <c:majorTickMark val="none"/>
        <c:minorTickMark val="none"/>
        <c:tickLblPos val="nextTo"/>
        <c:crossAx val="211000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0"/>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consumption.xlsx]Pivots!PivotTable6</c:name>
    <c:fmtId val="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c:f>
              <c:strCache>
                <c:ptCount val="1"/>
                <c:pt idx="0">
                  <c:v>Total</c:v>
                </c:pt>
              </c:strCache>
            </c:strRef>
          </c:tx>
          <c:spPr>
            <a:solidFill>
              <a:schemeClr val="accent6"/>
            </a:solidFill>
            <a:ln>
              <a:noFill/>
            </a:ln>
            <a:effectLst/>
          </c:spPr>
          <c:invertIfNegative val="0"/>
          <c:cat>
            <c:multiLvlStrRef>
              <c:f>Pivots!$J$2:$J$70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2016</c:v>
                  </c:pt>
                  <c:pt idx="12">
                    <c:v>2017</c:v>
                  </c:pt>
                  <c:pt idx="24">
                    <c:v>2018</c:v>
                  </c:pt>
                  <c:pt idx="36">
                    <c:v>2019</c:v>
                  </c:pt>
                </c:lvl>
              </c:multiLvlStrCache>
            </c:multiLvlStrRef>
          </c:cat>
          <c:val>
            <c:numRef>
              <c:f>Pivots!$K$2:$K$70</c:f>
              <c:numCache>
                <c:formatCode>0.00%</c:formatCode>
                <c:ptCount val="48"/>
                <c:pt idx="1">
                  <c:v>1.8144021198072725E-2</c:v>
                </c:pt>
                <c:pt idx="2">
                  <c:v>2.4703059468592324E-2</c:v>
                </c:pt>
                <c:pt idx="4">
                  <c:v>0.13712007988726618</c:v>
                </c:pt>
                <c:pt idx="5">
                  <c:v>-5.6745546712106673E-2</c:v>
                </c:pt>
                <c:pt idx="7">
                  <c:v>-3.4256405283296168E-2</c:v>
                </c:pt>
                <c:pt idx="8">
                  <c:v>1.5410083394839475E-2</c:v>
                </c:pt>
                <c:pt idx="10">
                  <c:v>-0.12554583925937959</c:v>
                </c:pt>
                <c:pt idx="11">
                  <c:v>0.12469438727008643</c:v>
                </c:pt>
                <c:pt idx="13">
                  <c:v>-5.8783199774078192E-2</c:v>
                </c:pt>
                <c:pt idx="14">
                  <c:v>-9.4842584125348406E-2</c:v>
                </c:pt>
                <c:pt idx="16">
                  <c:v>-6.8941504773561993E-2</c:v>
                </c:pt>
                <c:pt idx="17">
                  <c:v>-5.9523675839725523E-2</c:v>
                </c:pt>
                <c:pt idx="19">
                  <c:v>-3.9482562302397002E-2</c:v>
                </c:pt>
                <c:pt idx="20">
                  <c:v>7.0019657655175441E-2</c:v>
                </c:pt>
                <c:pt idx="22">
                  <c:v>4.9274012287314248E-2</c:v>
                </c:pt>
                <c:pt idx="23">
                  <c:v>-5.8145864558744466E-2</c:v>
                </c:pt>
                <c:pt idx="25">
                  <c:v>0.12275860938076778</c:v>
                </c:pt>
                <c:pt idx="26">
                  <c:v>-0.10220463074946368</c:v>
                </c:pt>
                <c:pt idx="28">
                  <c:v>-0.12626024344229173</c:v>
                </c:pt>
                <c:pt idx="29">
                  <c:v>3.7573274030354709E-2</c:v>
                </c:pt>
                <c:pt idx="31">
                  <c:v>-2.9210086857172034E-2</c:v>
                </c:pt>
                <c:pt idx="32">
                  <c:v>-8.4162729705693579E-2</c:v>
                </c:pt>
                <c:pt idx="34">
                  <c:v>3.0924356895048678E-3</c:v>
                </c:pt>
                <c:pt idx="35">
                  <c:v>-7.268295584995501E-3</c:v>
                </c:pt>
                <c:pt idx="37">
                  <c:v>-6.5848565786355831E-3</c:v>
                </c:pt>
                <c:pt idx="38">
                  <c:v>2.7285121416119593E-2</c:v>
                </c:pt>
                <c:pt idx="40">
                  <c:v>-1.1833108184134501E-2</c:v>
                </c:pt>
                <c:pt idx="41">
                  <c:v>5.7951059198603612E-2</c:v>
                </c:pt>
                <c:pt idx="43">
                  <c:v>-7.0990932530926407E-2</c:v>
                </c:pt>
                <c:pt idx="44">
                  <c:v>0.10181891944011671</c:v>
                </c:pt>
                <c:pt idx="46">
                  <c:v>-4.2971312229021135E-3</c:v>
                </c:pt>
                <c:pt idx="47">
                  <c:v>-2.2752325649749161E-2</c:v>
                </c:pt>
              </c:numCache>
            </c:numRef>
          </c:val>
          <c:extLst>
            <c:ext xmlns:c16="http://schemas.microsoft.com/office/drawing/2014/chart" uri="{C3380CC4-5D6E-409C-BE32-E72D297353CC}">
              <c16:uniqueId val="{00000000-0D81-4A48-99CA-FB7FD7F1CDBB}"/>
            </c:ext>
          </c:extLst>
        </c:ser>
        <c:dLbls>
          <c:showLegendKey val="0"/>
          <c:showVal val="0"/>
          <c:showCatName val="0"/>
          <c:showSerName val="0"/>
          <c:showPercent val="0"/>
          <c:showBubbleSize val="0"/>
        </c:dLbls>
        <c:gapWidth val="150"/>
        <c:axId val="100072848"/>
        <c:axId val="100075248"/>
      </c:barChart>
      <c:catAx>
        <c:axId val="100072848"/>
        <c:scaling>
          <c:orientation val="minMax"/>
        </c:scaling>
        <c:delete val="1"/>
        <c:axPos val="b"/>
        <c:numFmt formatCode="General" sourceLinked="1"/>
        <c:majorTickMark val="none"/>
        <c:minorTickMark val="none"/>
        <c:tickLblPos val="nextTo"/>
        <c:crossAx val="100075248"/>
        <c:crosses val="autoZero"/>
        <c:auto val="1"/>
        <c:lblAlgn val="ctr"/>
        <c:lblOffset val="100"/>
        <c:noMultiLvlLbl val="0"/>
      </c:catAx>
      <c:valAx>
        <c:axId val="10007524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1000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consumption.xlsx]Pivots!PivotTable5</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Pivots!$H$1</c:f>
              <c:strCache>
                <c:ptCount val="1"/>
                <c:pt idx="0">
                  <c:v>Total</c:v>
                </c:pt>
              </c:strCache>
            </c:strRef>
          </c:tx>
          <c:spPr>
            <a:ln w="28575" cap="rnd">
              <a:solidFill>
                <a:schemeClr val="accent6"/>
              </a:solidFill>
              <a:round/>
            </a:ln>
            <a:effectLst/>
          </c:spPr>
          <c:marker>
            <c:symbol val="none"/>
          </c:marker>
          <c:cat>
            <c:multiLvlStrRef>
              <c:f>Pivots!$G$2:$G$70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2016</c:v>
                  </c:pt>
                  <c:pt idx="12">
                    <c:v>2017</c:v>
                  </c:pt>
                  <c:pt idx="24">
                    <c:v>2018</c:v>
                  </c:pt>
                  <c:pt idx="36">
                    <c:v>2019</c:v>
                  </c:pt>
                </c:lvl>
              </c:multiLvlStrCache>
            </c:multiLvlStrRef>
          </c:cat>
          <c:val>
            <c:numRef>
              <c:f>Pivots!$H$2:$H$70</c:f>
              <c:numCache>
                <c:formatCode>\$#,##0.0;\(\$#,##0.0\);\$#,##0.0</c:formatCode>
                <c:ptCount val="48"/>
                <c:pt idx="0">
                  <c:v>3378</c:v>
                </c:pt>
                <c:pt idx="1">
                  <c:v>3977.52</c:v>
                </c:pt>
                <c:pt idx="2">
                  <c:v>3773</c:v>
                </c:pt>
                <c:pt idx="3">
                  <c:v>3807.76</c:v>
                </c:pt>
                <c:pt idx="4">
                  <c:v>4374</c:v>
                </c:pt>
                <c:pt idx="5">
                  <c:v>3941.52</c:v>
                </c:pt>
                <c:pt idx="6">
                  <c:v>4540</c:v>
                </c:pt>
                <c:pt idx="7">
                  <c:v>3951.52</c:v>
                </c:pt>
                <c:pt idx="8">
                  <c:v>4312</c:v>
                </c:pt>
                <c:pt idx="9">
                  <c:v>4083</c:v>
                </c:pt>
                <c:pt idx="10">
                  <c:v>3992.88</c:v>
                </c:pt>
                <c:pt idx="11">
                  <c:v>4541</c:v>
                </c:pt>
                <c:pt idx="12">
                  <c:v>4448.6640000000007</c:v>
                </c:pt>
                <c:pt idx="13">
                  <c:v>5714.5000000000009</c:v>
                </c:pt>
                <c:pt idx="14">
                  <c:v>4422.0880000000006</c:v>
                </c:pt>
                <c:pt idx="15">
                  <c:v>4649.5680000000002</c:v>
                </c:pt>
                <c:pt idx="16">
                  <c:v>5321.8</c:v>
                </c:pt>
                <c:pt idx="17">
                  <c:v>5945.5000000000009</c:v>
                </c:pt>
                <c:pt idx="18">
                  <c:v>5259.1</c:v>
                </c:pt>
                <c:pt idx="19">
                  <c:v>4734.2240000000002</c:v>
                </c:pt>
                <c:pt idx="20">
                  <c:v>5032.5</c:v>
                </c:pt>
                <c:pt idx="21">
                  <c:v>5648.5000000000009</c:v>
                </c:pt>
                <c:pt idx="22">
                  <c:v>5333.9000000000005</c:v>
                </c:pt>
                <c:pt idx="23">
                  <c:v>4768.5</c:v>
                </c:pt>
                <c:pt idx="24">
                  <c:v>6046.3700000000008</c:v>
                </c:pt>
                <c:pt idx="25">
                  <c:v>5811.630000000001</c:v>
                </c:pt>
                <c:pt idx="26">
                  <c:v>6469.8700000000008</c:v>
                </c:pt>
                <c:pt idx="27">
                  <c:v>6861.9100000000008</c:v>
                </c:pt>
                <c:pt idx="28">
                  <c:v>6138.3300000000008</c:v>
                </c:pt>
                <c:pt idx="29">
                  <c:v>5890.2800000000007</c:v>
                </c:pt>
                <c:pt idx="30">
                  <c:v>6870.380000000001</c:v>
                </c:pt>
                <c:pt idx="31">
                  <c:v>6128.6500000000005</c:v>
                </c:pt>
                <c:pt idx="32">
                  <c:v>6837.7100000000009</c:v>
                </c:pt>
                <c:pt idx="33">
                  <c:v>6521.9000000000015</c:v>
                </c:pt>
                <c:pt idx="34">
                  <c:v>5904.8000000000011</c:v>
                </c:pt>
                <c:pt idx="35">
                  <c:v>6260.5400000000009</c:v>
                </c:pt>
                <c:pt idx="36">
                  <c:v>7256.6120000000019</c:v>
                </c:pt>
                <c:pt idx="37">
                  <c:v>6953.1440000000021</c:v>
                </c:pt>
                <c:pt idx="38">
                  <c:v>7453.6000000000022</c:v>
                </c:pt>
                <c:pt idx="39">
                  <c:v>7182.0760000000018</c:v>
                </c:pt>
                <c:pt idx="40">
                  <c:v>7493.5300000000025</c:v>
                </c:pt>
                <c:pt idx="41">
                  <c:v>8523.724000000002</c:v>
                </c:pt>
                <c:pt idx="42">
                  <c:v>8872.4460000000036</c:v>
                </c:pt>
                <c:pt idx="43">
                  <c:v>7248.626000000002</c:v>
                </c:pt>
                <c:pt idx="44">
                  <c:v>8419.9060000000027</c:v>
                </c:pt>
                <c:pt idx="45">
                  <c:v>8180.3260000000028</c:v>
                </c:pt>
                <c:pt idx="46">
                  <c:v>7440.2900000000027</c:v>
                </c:pt>
                <c:pt idx="47">
                  <c:v>7225.9990000000025</c:v>
                </c:pt>
              </c:numCache>
            </c:numRef>
          </c:val>
          <c:smooth val="0"/>
          <c:extLst>
            <c:ext xmlns:c16="http://schemas.microsoft.com/office/drawing/2014/chart" uri="{C3380CC4-5D6E-409C-BE32-E72D297353CC}">
              <c16:uniqueId val="{00000000-39C2-402E-B1ED-8E96F7DB8E92}"/>
            </c:ext>
          </c:extLst>
        </c:ser>
        <c:dLbls>
          <c:showLegendKey val="0"/>
          <c:showVal val="0"/>
          <c:showCatName val="0"/>
          <c:showSerName val="0"/>
          <c:showPercent val="0"/>
          <c:showBubbleSize val="0"/>
        </c:dLbls>
        <c:smooth val="0"/>
        <c:axId val="1181287744"/>
        <c:axId val="1181308864"/>
      </c:lineChart>
      <c:catAx>
        <c:axId val="1181287744"/>
        <c:scaling>
          <c:orientation val="minMax"/>
        </c:scaling>
        <c:delete val="1"/>
        <c:axPos val="b"/>
        <c:numFmt formatCode="General" sourceLinked="1"/>
        <c:majorTickMark val="none"/>
        <c:minorTickMark val="none"/>
        <c:tickLblPos val="nextTo"/>
        <c:crossAx val="1181308864"/>
        <c:crosses val="autoZero"/>
        <c:auto val="1"/>
        <c:lblAlgn val="ctr"/>
        <c:lblOffset val="100"/>
        <c:noMultiLvlLbl val="0"/>
      </c:catAx>
      <c:valAx>
        <c:axId val="1181308864"/>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118128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14808</cx:pt>
          <cx:pt idx="1">33145</cx:pt>
          <cx:pt idx="2">5599</cx:pt>
          <cx:pt idx="3">23161</cx:pt>
          <cx:pt idx="4">1945</cx:pt>
        </cx:lvl>
      </cx:strDim>
      <cx:strDim type="cat">
        <cx:f>_xlchart.v6.1</cx:f>
        <cx:nf>_xlchart.v6.0</cx:nf>
      </cx:strDim>
      <cx:numDim type="colorVal">
        <cx:f>_xlchart.v6.3</cx:f>
        <cx:nf>_xlchart.v6.2</cx:nf>
      </cx:numDim>
    </cx:data>
  </cx:chartData>
  <cx:chart>
    <cx:title pos="t" align="ctr" overlay="0"/>
    <cx:plotArea>
      <cx:plotAreaRegion>
        <cx:series layoutId="regionMap" uniqueId="{EA7BBFB6-03A8-4488-B677-DB6A8381F6EB}">
          <cx:tx>
            <cx:txData>
              <cx:f>_xlchart.v6.2</cx:f>
              <cx:v>Cost</cx:v>
            </cx:txData>
          </cx:tx>
          <cx:dataId val="0"/>
          <cx:layoutPr>
            <cx:geography cultureLanguage="en-US" cultureRegion="EG" attribution="Powered by Bing">
              <cx:geoCache provider="{E9337A44-BEBE-4D9F-B70C-5C5E7DAFC167}">
                <cx:binary>7HpZk9w20u1fcfj50sYOYmLmi7hkLb231C3Jkl4YrVab4ApiIUDy139Zao1H6pmRZ15v3AhbHVUs
kkAil3NO5l8fl7889k8P7qdl6Ef/l8flbz/rEKa//Pqrf9RPw4P/ZWgenfHm9/DLoxl+Nb//3jw+
/frZPaRmrH8lCLNfH/WDC0/Lz//zV3ha/WR2D+FhP4YmrK/nJ7fePfm5D/6HV//NxZ+evjzmzTo9
/e3nh89DM+4aH1zzGH7+eun8899+JhRT8vNPv377kK+Xbx4GuPPmKf10/bQ0j+Zf3Pb04MPffs4w
or8gxASniiIhGBI//5Sevl5SvyBOBWKYcCUFh0ujcUH/7Wcq4SZKpcoJllJSxn7+yZv5yyX8CyUK
i5xiJRHBLP/DQK9Mv9Zm/MMkXz//NM7DK9OMwf/tZw4Pmp5/dtoiR0rB63nOGedYKM4QXH98uIND
gF/j/2Nb1m+pHtsrR+ZmfWCGcV+MTAa2R1ploypocqldzxpq/JCdG6In7krF5XhmUoOOIvPrZ0fr
eSgzNPFyade4XS6jkE/W9XLXCCncZs/GUIvOi6Lr08ruM6+3fK6LOBMy+c+9HF1foLXOJd9329Zq
dYuaLMjX0cwR0/0kgpvWezq6KpQixYA+9DT1zVpsLCNz6bRB43DR5Fkql1xmBYkDX7euqDfeLfpK
xNFO+b0mcjOpLVFOEdnjgYXNFe04Df6Nz6nA+7xltEe/NVaGbT6OU8zJUHo0jOiywU037zdkH3Xm
3UHaaX3FST/KcltTC7eKNds+TiOSzfUXr/r12a2/O7VHM62uqfVXv/7j4/+8MQP899fTPf/48hQY
//h0/feI+uGvjk/m5L3+5Y++ezK40NfVnYLuuw//FIHfhsd/evE/C0CsGP9R/P1f12xmfPg2+J5v
+SP2IMAYhBhTkmLGOP1H7GH2S46ZQFxikiskINC/jT24K8+p/HIF1vBt7OU5gsflmCv8X4UeIepl
7OUc1qXyHNIdLI9C/H8be4OV3i+dSFe4mfrFiiJPAdJpkXNh0KV5dr722RU7MvQD+i188dLui8eS
Z/fFX3y5d62bwLPls6M3Ypy8COXcjg2eyyktbDwwmsahHEe1nrVZSpkuR07IEM/d3A8++mIL8xim
67Ff23EXY5P7QuXTeMWrdrkw2RDReduI9XplVfWmpXa6GDPxPvMmHpOJsi7RonaKt9NVO/jmOLTL
jAvOO/JGi2Yby0bPKSvUkLq6yF1U+0StTbvebbUpRC+Wu62L/AFNpOoKyGfxukG6cnuiQ5oLF+dm
KxStUX8cl9gfl+j6fMeVac7FUFt5o1SIbelX1Bxtlhl45rSGY3BdnIusz/pSD6w7myqXDu3m5FbI
bIQHj6ytlnKIVbwlvBo/hLTiuyT0GI8mtGGnvY91UU8rWUpfr1vhu8HtWm7j++DY+q7ajBSlq+20
nC8mX7qichw2yio0k/dV39qrxHF/9ES4PcNd3It6srjw2F0lY/C0k0ymPRJUT0XTJX4uKi/fqXZd
rkhIyh+bltlw0N6hvojg6ruMzit6bUW3JyEbhyMNfVUKw5etiG2QRePbNit5HKIscsGc2aGZ8WIS
cTizptK7pY5zfiAppX0KrSmHmsT6sJKAwND1BIkc+z79LqsGPWwc14eOQzQeuqpxezSy9WHASpGD
cgM/zmaZ7vHo9GUnQv/eoFYUFYo4lVNWh7M+6hrtiJO3w7C63Ux0tYd8LW056R6D0+AFx31d9/aw
xnrZa+nU7cLtdLSVm8vZsvpCq2qRhaFDdy96yqeC67n/jNrMnIeqJedhkMNOcFl9hGhwsRhbrD5V
Q8RNsfoQu2MdLHlT9c18ntwgD6SPUhdqrPx9zuIjSjzbxTXfdlXu1qGACGjOjZzoUK71ElVZixxf
DaJnF53m+YdcUHKMXouq4H7DeMcjqQtPhozufGXfcNa7G5uj7VMfhmo323p9NzfTcFZtFYRgliHV
FlO20X2cMn+7mmW8sbxtUxFM2zZQvZqq5L7Ld1hX5q2obShSpsbzUTX1b8H2w1LkoervOjaR0m/d
dIxhOAaTgx/Kis0FZx16zbWdyzUsVB3MyEiCzFLh6nKa8raYeZhu3VCpgxeofxpxt55b5U25aNsW
cVlVMVbhsUUN29E1pZLnDTtre6VKw8jDktbfeO94OXa1WnYqEum6naUczjEVk9XTLF4ln1U1vLbj
Yl5d8f+r4n8CS7FgOaC0fw9LLwHdzo/d+l1dfL7pa2HM8S9Kqr+jTgIF7iskzdUvUBAZU0QqmXP8
LSRVv2AGwBMBMBWCYATV7O9lUfzCVK6o4phhgU53/R0UfAduAMN//fwtJMUvICk7lUNBcq4oVQIT
8gKSUkiDLt+q+iLiKuiSUixfJ1xvByhf4QjQTF1E9Akq2HI+WcZS0Zpc3UUTw5mTQzxSi+0RhQah
8hsz/ouV8ZcVG5YGm+MoR0QQhhHJv6/Yi+crVLNcnMvIJ3OrVIdu803MsIas4l2BZ3PfYJaxfeOq
ItRUFdkUfTksaq4+5+OIX3tA49btp1UO8rcNEuTNqm0KJdMefxi0DlAj+jhthy2KLN/1vCXodvA8
99mOiZDlZ6mrth1D3Rj0DveJdcvOMNm5txrS55lZsqFNANB7e5dXvl93THo6FFk3qovczXhvyNru
F6fe2HzWbt6rlNNXGxbzW2WmvkjODrFQPenrYk6t/TSsA7pjFTWQFpibWijjBq1F3vEFH2JFdH8R
qOm7QxPXvi/ambLXo/W7LtXpAID93VLV2RGqh7uwdYuP80z9IxR2d6sGvuxE6y9xbS4mI/wbOTbL
K6yW9Sj9HC6rSseLJYvZrpGbdUWvWnFjGV2vxlofsqbtpkLP2NxlTH1AtPVF1nhjdlvX6/ekqiZZ
oJmn66w22ett7tRSSr36fWriclXL7R7NdX/r1rkplk2NsvBJQK3Lu4x9cn5oCzVpXyycs62cKWrE
Hcq76S42Iy2HKh9e8bhJHUvqcHdNx97Tt23tdLHgrLndNrtna0UOVvXpzYrQUoyajueLmPix74fx
MMmguxI7MZce2ON+GyU+W2g17eWmsoIC2dgvaDLnbAupxLYWr8Hq9jIXnTu0skcXNabq4sQWLzRG
fb2rRtS/nwL2b4w07e82YcnLbs6me+ub7YaOZLmiEcnPtdTiwKpg94OF3TsSQ9mvEbBWYwKUbx3Z
YbNpscXUTfqhA7cvKHFLGcDTis3X6Q7JmG4UYfGSJz/ve9aoI7O634dsGwuSGgobCvROh8EdZrSR
onaNBpeGAlwdUuz8Wm6WifccHlJmS58VVa7mPVcJP5C61eXQrusTsXV1bQfNdvmyuDM2sZjK0Lbi
gyfr5spKanxOomjdziS66nILclyP0RDSFpJ7nxfEDpKUXNneFIiqddfXfb0VwlfZG754JAuW9eFc
LQ5fqokbvl/AjudRbs4XA+71Vd2J8XLRCazH5morWWz3rY/60K+Et8WYV+xxSCyJoumTe7MlQM0K
aiWYb7PdNedtdaBGVSXJm1N06dyyou5ZFY8RAE2/I0Gl13JEDT/KzojzLri3Sqftk4zbsq+SZ+dK
tKYA+K2G3YQzcwOZMH2Ies1dMQH5RMVQbyPedY3rALCkMa2F8U5+HCup5h23bmkLg3Eeb+gwsfMF
b8kUg8plW+AY9HC1GhlIodYYz00NYHLnIYkMZVvl/S03RrgiNjW59T1Lr4WLGAjDqONSrKPvbxkE
xjGRXLcFcAGTHZzHU9xNbhM3AtLB5aBV3xRz1Q/vqjDau2amweyXntDryiZ7ldlg/E5Si26bvDVv
pCFZv8Mz4A9k4LoAH1V7h1d9ETfurhPR+lVDUvd2GvD4JucBl/U6D7thSt0e0jMkX4BQ3WNbA0Qu
GtaMXZFRJ175Zu2z9xOtNxALrFV3hKa82Us01HAokxPuwNCgntxG7cU64PShznVfxhXHOxyiPVvM
tNsykbmino0+Q6SNqAhWs0utYnuQKbp7Ts3WFhUW+jUGlvWbiUNzJ9dlwGfe+foVY2yairiGri+J
1P6jWUHBKBgeITu4te33lZi7B20VMAWOl3gd8iGaosaJ62KledcX3Rr0bbaErAMA6uF1fR3i75Df
1Z3KdDpYKfxHkSl4Ra3QdsUgNx/albbnriPL3iZu95AblvNWdtX72EUM/4DTQZ6HIO8o7YoVmbEv
5k1npUIDGUugPfIK11zVhVyJ7grksb1QS2qq8xjsfBlyIb4c21mW68sBuUwXM4VNRiz3AJkfW4rS
LuVsKju70HcNDtN5O0n5SlGN4a3DI7FegSPyjt4uGZDJClL/xvures2rx8WbcyXnoRA8W8oaD9ku
R+O0nybW3qzcyCMz2QQ3bAu5HSHQWZGaPN3wmaCSkJnsBr2SYnbwT5Oj7GObOvvaEbpcMm5ZX/pJ
jx8YV/Ex0t5fdpTLnRvMcjzhkk991plH8FJOS7bKBlJHK2O+X3Wlr4AIR11AOXWXNLeLLzjVkgKT
2iTbz2u2sl0anKKH1WWN2S3bjN6JNoRxb4XtPrEg626/qpEuRc1qUu1anwHdDEAiAO9rmR5Gn/fb
ceqamJVzRO5D43X3DpQNOC79kLE23maIdXcrEvfdUvFj2w71sKcM2G45ek2vfZNEKDAAr9uqG9k5
QCzzcTVVOIQ5G3YmIDivCrWrgWBpx4+U2wGe2cTPBI8dkNSKnYqoG65z6/GVh3QGUeTXray3SGIB
uItMRQ/sBBxEku4BZMwPPsNix1dMWZlaNV20eZVJUBbzjBV0XSpdzn2Vxn1m7HCXNAo3QIPW10zg
5n7pI6I74TGtC9eT7DB7f1erBMUadM1rzQ2wWQMhdtUQgflOLd77MrGGjgUfWL1XvY67ql3lY2oX
+ylXdoqF2zJ1IZlPJ4DJidsPrVH7FW+BFS657TxvhTSFMrO4CgPaWDE1/UyKJdukLWTbxiuLNyCi
CfJIW7oRJOAS4In7jbRyzV5HygZ2nKHov4ao3VKBwAeqvTK9uIitg0rAmma0Z50Fe+6WVOkKSisD
/GV6mt8vC5B8Y2Xmwb9WcZmDhrEUWtHpmBvRt9dOr91SQmofbtoxX945ouwdpkl+tFXeHo2oXSi6
psseGa6yixzo9ni03i3APusB0ULjDUqGlXo+NsOEXxFQJYeLfGrUbT3L6Xc1ItaUParROdDFHpWj
iVnh6SzQbpmtpuFS5Csx4hlkf5UTv+MDf0iXz4r1Hx//XxY7Hw1IaKfmRd2Y8VuGRk4a/78ndW/H
Jjx9/uk+PIQn/0/3feV1QgCvoxR0DpABFf6m2YAl+YVjohDQNECrIgfm8lXvlNBQ4EwCrSI5UMI/
WB3Of1GUcJBxMJEQpET+N6yOgtY6/aPRcHojJgj4HCVSKJq/pE49bt2IU8efcmB1s9qTiU2gyKEp
Nts7zuepe2CZ4/4w2tVDogxk4XopM1OhT/Xo2JiVhiydvFCar/Oug96EPUtq6P11z4cpA7DTLXz6
xLvQLmaXCYgSWtZSMvwkF7POd71eZP+Q53yqHulArbipRWMnCgiv8bAUBo2N4RZwdEjjru65A3Jh
Eh+GKyxXC0uuhwGvl2SgY/t75gHj9H9CMOULGykESFdxwZSA4yPoxIy/acZIPDSzFjp/qpIZW3sW
Btazs55FgHFngLlDk8oNtOLm9x5VDakO33jUv+C3GETv785IQatJUsJofmLesJjv37+1NAcxSDSf
W9zRrimDoVDBChD6Mtse3JIgqeycDjXTRcaybRpfJSBjnpSYbSLRiwCiqe8KYywwohsFTBeu/XiR
J1H8Gz+S0BajLAcXEpipk1t+v8ZFNxnRjmafAX5FRHb1JmtpD33OAkXF6IIQHzuOqnD+4/e+OJvT
e5likhCOiILWwIv3TjOgY5PR/HO9gs+JIqKp9+81q8hYF6lt5uZ2rKAHGgqtgXqI4sev/75XwOD1
kkHDIifQE8kJxND32655bDK0aPo5k720tOQJCf4AgZSFc7M1sr9pMmzwNe3sOt93HqFNF143PRjl
v11JLkEyFhz6IECWXnYMtdSgaK/IfWYiQcgdViw23B24S7MH3QOYkPjoZjCBLbyQUnwEsSA6tY+N
QVP6k1OB9PS9N3ACyhbnOXRP4WhO/dpvIyaIBpBKN1aPldpG7o7GTkO17rNq8Go9AjVawEV+vH/8
IpNJxKFnClECgUohnZ7EuG/fWaut5WoK2SfdgN6UnS1BnwJiWIwG+RQkE7axshn8CjhoUYSCITjI
HfP9MIl2LccMu/FeDXpw485y48jdAIKC//TjZZ6kqG/jBGOKGEOMA8PHEC0vcsmcQMlGdls+LS44
cAI0dwjOBy2J8qxYHI3Z/UQ6ewqakMzpTzPV85+czz8ZC2MhmQDxQuWMMkht3xsrt8SH1Qvzaex5
Bjm8hewFaCiuKKz8klYc8r6vZ9c9DC0fIaO6aXCYn+VZm8WusBqy7SnzrxruGputj5ds6SYz/Ela
wS8DDJ+MJImQOYETFuKltAfi4qTGjX7yFRHZsG+Dn/r5ld1CM41lsquFxWWgL8I1s9rBrLu829bs
Pk1Tde6V69u6HLYNrcB07RiqYoS2I3SrZ46y/k4Mqt6GklCAp6QkWbvi8QJt6tSV6poqWfsnYYrx
CwcAsJsroUCPpaBZgrN+b3nwzNHGMU4fJQgaLS8nlHNwxaqalXIl3mQGqb1an7NnPzO4Nn9JJxOu
cri0pECFPcyJ/nkMsZdZnADaUBBIGBN6it0XbtEtnR8qbaaPk4MosnsKvQ52TbCm6yX18wrmUFXs
t3eDXtZVFiBUJqtLSPhJ3NV2q7IzN7B2e+ey2YubvBEngLCwOPTq2M38dDzGUwUutEbJ493k2m57
t/WiS0BZ+/5UtBqwPhyQGUFo6YCHgET5Lh+WBc6O8naFP35Ddch3E/fUH4ScT2fXLXUDAMN+eb3K
62yFvopZgEUWBsADrLzJxhM2CBMfuofFg/oxHVR0ON4zEAXClXNdBVpmPzgYLsjqaljOagbF9cOY
jxV7F6F1Bk4mcxjL+D3a0QBE+XFueJk1wfoSSQmdYQZjJxS/cA1arWON1dR/3PDgXV0sBMnJg27T
mv6czhbUpv2P3/gyGxEJuYhgqNvQdFf/9EZoXHqdBpo+0G0+OWOa2Sn9ES87KN4iWi4+Vi3dwAkT
mYOvryUkFvDTHy/jBGe/y4pUQu9CQq3gBBEGKPn7oNhonG2mxPBuYOMQKLTbZp49GastZCPd+RHv
XSVN8yr6HOShYgJ6We/rPBCQXnIpUw8Ml9T2sq9ycb9QaECvIBpjEe9CDiy5tHxbzCU4EdJFi1jV
TNAGFvgU7BqBH5qoAV2cV20XTpEfYWjhlkC9n9aCdo4u8fjjHb/MazmFAgVwA3YNu4XW8Itq1YlK
j8l6+TbOIwIQy50jAGLjdvJbINiMnWkMOq8tlk5BO74ACenkvZmYTi5N5zaR6r5axOlLYpttcGfN
ROgpRdrNI3yw0K6Abv/G1w6irkrDCVPjNR8gOiW2EEY/3hJ5kdlyQEA5lE3IanCCGKMXqdrScdhM
O5K3edAwhHAIU31aQICm+Cl0v8QxQWiFtVV6OYU45MpTSnGThUKTaQwwHi/89JWxne8egLhLdtYk
mMKwhV2TETeVXeBXjaanLa71IPyhy6SjhwkmF6gvV6gXsN0/2doLlAlbUyCCEAyhgjg7DXd9hy3C
0mHZz2Z9S+t4ylTBWXCtrd8a8xig90DGYg3Gbu8kGU/1ccgMhgNZxNDX634bBA71QdFsTm8BpTow
R5ItBe+jcYNsMjaZAhdjqZ9O2W2GtHnWkClBWguASOCFTagQfAKOhcEUIIiCKUKQOgsl7+cWQkIr
0sKnZ/ucUmEHEzp/ENtXzxjl2wbgixjNAS4AupKE50A70T9BXZw2JlZhszdxkCBbHJ7hLdH5ErsS
mKWuxz9LCy/K0emVjAKwhxEL+B9Q0/dmR60B1Dot8o2fMXhIWEMAh4LaD/Zh7cSgI1ClzICiB2L9
CgbvYzUCZIGkB1ZKbunDK9Ba86o9VIHlkAwgIOOd6w38ahkyCPywjFCovh5bbdMIplz6fIRYgSg6
HUfdLaeDyNoGwx+1tireITMYWAnvOqhNMF1x4qk/tjZT9PucCJs/FQFIEjCEBCjoJbMBOOizGi3r
G61X0UPbcu7oVFYJVe2NIBtz695qJ6a8UDDj1OrCOdvYC9TPdIGREkA72aWrh4xdV8NJ7rTJLPUj
anp0lqqZiV0nR9N/Zm2/ubvBiAGGQDdoXN6yiNGy7fJ2VHwqoa3H/HxIiUOHwlldLTC/M6ABX8FE
B1a7cXQKl+0SZmitmiW3oHfDiI4DObJeugjBEDeX1h4kOt6y9qAInhlMi4SVnQaT8Jzm46SSxhXg
t6oO50FLQGal3Pq0bUBrwRWn86Vbq7mwfmrFISpZ0x0fsmV7k4QhzbuZ9XW1oywQXK7AT81aiDp4
GHo6NSLKmvf1mSQ07KxBabusQERDR5ywJoc687lG+6kzA3u78lh3GfRb0bK8WWBAI1xnPozZHVQM
OX/mTgj3dpOxHk0xwYSQ9q/VsvXdsWpA3ThshuUDiJOdoUSX0m3e5p/w0ObjZ00mE5cduMpqn9Qc
UkIljFx63J6FarQ83wEP4L04VkPWiRuFZdZ10IOaiO/1k85HGsDKC6a5Y9cbNRFcesMONPHXVKAg
0H4coXEhz2dVNbq/GvnS2XrfxjqkCGNOVd00h4oNaeZ31UioPRct03V+AF8R0E+Y4oagrPc+b5Iq
6owJCwNWldva9TzVPtPNMTUDVJuyU4lBgo1TM/P3JpsF9+fgHCmrykQBtuCbeQLUpYoAzZBF3PZE
SvgTnr/MGmjEqQIpYPWu3Ixn9tM2W0XiRSvcVJMzvGSZlOXa8m6WxwUmhoYexmbiqS4injWwnZpy
KCoPS7UKpKDzoRWvb9c0pUm+aqusTf1BdjQj03k3ryqPt6KlvFGFVeqkSUgXOKjzsq6qbLtkrPdg
qWy1kLKvIWtbzS8zWjnZwwCgbXD/CgaAQBnfg0ydfL03DTR3XQkp67SkNWY9zKyiWq+N3aGpa12+
G0Gt5+N7UpMR3jecpnPeznVubemAeoNlST43UEFKaEOdHgLrB8hSQM/rhOlh5AB2D1NYeKTi0Op0
shjtQwd/jNchux8HeUr5LAaYzC1VCgYcYBsBbxwDjH7B76bnrerANzCfbWGaWUIt8RW8rdcYSOaI
m9Px4Ilpwn/D/XKy88hAKg+7bM4cHEU2drlmT9YCobEH1zSAtMqU4xVmxJpc8zmDE2Sznd+Fdpyb
EeyV6c0c9bwxvFzn0L6CpTRw0tN2L8Cz4A0ULtlPVbacHEy47HTyfM3gu14NJ9PECG3zBkpsbhOs
IY4eXlt+3Y9zlNpPILhp+I4vMJtw33FWKWj6JAUCUDFB1xls8dV7qs0reKRss9PmqrB+MQZI5XB+
XzGu4hs/faKew6gAalx2/9XU2fPP/27k59+BUkC6a0mmARaAx0zHT10jpsYdYfZghU1bssHsfVET
WjfoHgh4baDf+XxQZoNOXL0H5j27+nzEaq14gTsdVwEzF7MBK0Uy9PATMoHG5kqQOaqoig4msOG4
6wEmYyBGZY3sJ/VsQTNBBEFee96TJg1wtHIyo0j4bJ3zEztHz0f77B6i6nqwj2AN3LHnsj9tfhGr
Bj+tsTu9RjMt4MvVWCT12y1r2BxgoFTTk3mfHWmbV5id28MmT0/BjfNwH/TjYCCt8EGflv5s0GxL
G3yA3gmMwuwzxMeuPd8Il8t0rBGISAhmPmYDMa3a+qR8eBg9/dRESewnLOoR3Ae6ScNp8y7+Lztf
thw3rm35RezgAE6vJHOUlJoslaQXhGVXkQA4gABBAvz6XpR0bpd9Iqrivnc9lCJsOZMDsLH3mtDs
3mpg2dsHQliAH2SuM/xoe3/bDt0ab9ffm6RulieziQnYvq8zfG4zRkEdHSFtSIPpKvpcK4zrfEoP
X48857PC5VgWCXwIToABX84lEzjn52BcE/8JnRvPwJ2P3tSz0tc1xZfHvBkwMk2tBLbZAjAAZIPX
1JhTOtTbdjY4X/FnwpmEZ3uBZtG6c5Tr1g7HiQx+14GgIi3kB1TXgA2DPICmpWimEeIT6Gq9uL1A
DIL/u24Bbhf7SwCoaASW315mMVGAAovi+PagqYf5OekptEY76tZt7S85Sjnf22gMUWEy1bQm27Ud
jthuZ72e5voEE4Ra7aufWI56U7fDIMTxC07mU9sovjdNi3n3hyOaRNFR8gaP4xB97JlxAPWJ1043
/dNz1GTDMj2N0dIsyXH6vHWb1xqPKJJ2FbgjUS863iWrH6DKQam7Pb7Aym3VAK/alvgnfpppseAJ
BAbqLw8EJgvxQ2GB4/dHBvTRg6pjBa6ckxAqqgKQhUu6m0gGCr+RuGCbYefYaKyrT5BlDaCNpHvT
j4qGp5qOKz5j/YTeKMZyoIYjFJqAKGkAceQbhLFi6MupBTARX3Ui2fbTRBYGEL4W2YRSGSXU4czT
DpWG7zHrbQ/PsGiDCkID8UV/x9u+xj9XrsVdvi5oz8D8LVQrxS55xDeQcjA47m7A9kfJdE8AYzm6
s5R7rtkni4xbXQG6gAKxSAECJW+kjgKM5DgMwc0Xq0dW3FXSd9ux0cV0W24qVAEW3+eT5NMAJDpi
Povm87LGHU3vxQrR96NCMw1UYZVjnryh3mJ9eYtc8QQ48bd7oBJa8nGP8XJDqVqwyBsWkHfDIt+S
HBq54J3YNmkvSQLnBd2TcNCT99fCAm7pDida1MaFboF/e2XWBql6BiK5iOmbX4+8rksau6ixD0uK
3mb8mc9sHsNXTTNAEwclzNzlpReuWjyvxIRkKAxOB4thPwgG9JRpGucmMFjlHc/DcsYfeulcpAuY
KVt93cnnuxwlB0BcxnHkttv6KDdtO2/1L3f1Vk3Q/W+bl+lu+43+A72HiHn7szjwPfyGq932izQC
OtHtMLlv3AZrqcRWrtEt0ss6uUDuODbqtivzbvubryWLnhKVCA6d7a8+IfitnHp1qaxTUVoEofKz
O9OkNQRAC9TceNFupXl4WsZ+2+W1t25woAZPhB8Ebdl0Glcf65v44B8uwC23KxcMTOPb1xfFKseR
NmKpeI+fE1vP+JqKzV5jyL34LFjiE2gcs2ADo7123EBIDcUNIRWECpCmF82YGO/RsFjinqcFLN58
ZmG9tXENsfiOdG63yzIfG84bBM6RgsZm2+Qy3GjGql/stiZTuoaCQSqu+67bNbzFboTaeeMkgANv
RU9AyI3PJTrw+FUTRm2a/Qvw9dtADywH9QEr+MPhFfwXrAw5J5pTIcPHBgIqXHVa1xa7YRlQZkeP
bDuonQG8NNBWjdu1/8t09+tst309TGeQrOabvwsb99fBVhk7eItOAVV9lkYODBhXgTkAO+mfv+o3
AB27yU8/nG6ArPCNyTbW/428XDIxZhSt5H/WiC/sMJSjpITcQm28re48abaXahjHGx6IInhlX8Xx
n6/lVwgh9n2sHzh0cPOgw7HOw1+vhc5RCPiW1485WLXkjcHAgBINKWAKTeKA1vnfnvN/f2GY5wAO
kiyHNDjOf8MVRaP8AP4c+jDC+Za81QIn/il1Akvta2f/8w0GG2z3/+id7Q6B3X66l6DFJr8Dmbbl
pO6nNnn4qhgL/HRYRC6JXBzvLdHZvOeSrureLJHjVWf6rZ5HCqXB0yvBefQvV/TrSscVYZTK4ImC
azGG1+p3WszlvrekLhof2s9NtaCvwx63RlDUdZbNDK+gIfCthFUe4XBAa+E124VwGY1mLecRk/0+
7qIh9guL0uJKlPoRv479QYMLcxHmyXL55LPkZ5n955v4/TXixRE/gmMsBiQbZL+zrDh3xymE3vjS
aLFVpvWjEZI67s298zJDrv/33xf7eJHbf0mS/AbOphbdSJj55vJ17Nl6M1/4AyrrUCjN6v8VtBb7
gPwD+NewMSJs1f8qB9FCgUTPjF8+jyU0ydvbSEWLfdHrcTsw/vkGt/ryt2WKBQH6iWAHQo8CT93v
eObiVssULJjHtPeUiMu069LoLVHYMP+2Bf/7q/DqMjB4GcGkn/5e6joads7USX38bEXmGOgI1hG0
v/jxz3f1JcX4240BK8RX5RDIfBDz2e90oe+Dl0lZow9qDf1G78LYbmoE45PQDH9pKLlhxRl0DWw1
Lzq6Ylospriegu4KpzWMFXU5CAnk5zokwB78u47COjMcHXqDeLhQy0RgXUlDUE6vehw7jEGKh6SH
YLs1aziV/uAnuqsyFQNqu45sMETJXf7J54kEw0h0C69RMNobUTczFMBochIWABPhkGocMWikrKta
j0u8iq8GJYXUHmtAfLYV6NAzHBbJRxn7HDXE4qN0L00XonRjNNzagGUOPTS0Q5hhTuhDg19Ai5WY
9BLpdmvmvM/eRoIcxW73ZRasrBB66oK16LXKe1YlMm25Kf4DeYw4Npviq5H56KDArC14vuuYbYd4
Os5AljBbiCTcyWzAV3YCU8V89sFWsLpsbacxTwHPb3n7FKHtzaNL4qacQGua+N4GBuhZAWd1n3NY
vjgdjVUjTAfYFQhMCpah4M2UDbT0zFAvfleMEdRD4V0+5hJ+vXpMIBj9Frt8Xodv4Bs2Rgs9IMwj
l2HSIBG+MQm0ua4gQoKcYN+oMQh42QVoOv9yGD11do4Tu4RvQWzdlF0Am1F53+c5F+GO99qD3U+i
cNiphG0cXPquHxzebbXYcFWu8D0gE3OJ1gymktLBbLBci1xPeoVSki8M03SeKfCirPH1gfjttLwn
fidcU1GChrsvurTv1EsP5MUzRfZJuX3VohF8eJ1cZx3qNt/3TZvAZ/3VZwH43vpE18OP2nxNoe1H
N9inrcDIpnIoYiBvVn7SBahk9ZDiMkIBF8EivDn/hiI+ZI+yz71237G4joumrpfH2LGYV44t9MDI
HB2ZH62nTtn5CCRjeEhVEpY2j5tLyiZoEkcyq28Ui/pI6njQBXZf8w4jbPtS+5vANg8oZtE2mg4Y
dgEphX18lUn/bRDYjv0ik+tkYZv9smnwdn1vc1VYsuMDM7crbyd/h6582mXOj6C21kn3A762R5jy
5ZUiXn3VzXraxRoQNLQv9RFm9bxq4Ke5T2UzgteX7CfTI63aRtaFI31fxTQfz9kadntHe7DAUHsT
fHTm+pLwPt0v+MhThnnsXdnBHKB7oD9HCLgPwgbtWricx/uG+8OjJMDmIfj2R5heoqF+WuyafW+9
PsYob7pvSxaynQ8/55n4ecOKwfOiawKYbq8m3f+peUrvAR4y6JWmKP8ZgOrBPBPI4GEOecP20vXe
LtDd9KBnAsABpaDSzppzpJUTUNYuGawXOW2yFzaHuTtBgWB+6JDACj8YOWHMYRBaw64aZ39mUwx/
pkc9de5yyBEqEkz83s6RwJzUDVexnoKxpFkzfPe5ltc2Jf6VToJthdJ441DreTlbtLM3firmE9Bv
78xE1ITQfrP2Z7AsUPuuaxY0GJul97rIcfkTHmBbhixYv2vNBwjK4Qc65+uqsXKbFlJbKKaUqeS6
CHtOTD3WhR9IdnFBikKMkaqcl6iNzvDjtfKs7Kj2oTThVbzZL4H0PseL++EbSi8kwPaZ4ViqAC36
rKgtjLcQPA/RDlEK/UU2RL06adGT+aC3a10YAQ2EKFNWQ0PsmYh8BzM9FBECBQ4DgIIi9Lvp3kJy
fa8bmARKMU3109i48UVZ2YXFaI0taQA/VsFxfWBcM2Bu2Hi2gT3FZstdHmq4Fvp15t95J9cCJE8H
qTiDJ0XOwX0OEuEkQ5WVRvn0DHsE+a6zxF5z4P0zaAdi8KV0KqjxRkykpr5OMm9gRRuI/Lvy0NRU
GfozXsRcj3fJkog9Cn2SlDlb0+MUDM0ddDrQdiyNegqHHh5VY4MDl3PyXUX0acGc/LSO3ZodRklc
wceu/tPhgRyaKTVmhzbQPU4qj2mhyAjGVtRT4TdwpyQ5vCbwAcZBUac6f8r7KX+PrIy+cUWH93md
1z8NFng1w0RyQyAsOPg4KarRjtMj+kuviJd+vvaUFm8rDA6HqA0olFmAky+N8wnOMouK5HPkSeDU
FskxBTFTSt3zg4iNeoK2K8L1z+E58HtYKpJIvwKXG+/yvlHHwLX5Y9ep9arWHA4uGEu2Mbhjl574
01kZstz1mqpvKsvIj0jMKA7h6OYLgdlkB+3kchtEk7myKl1ObLHRANwm6w806UiF8RgKS8Ae+Wn1
FL2GRU7dr/DdPGWATl7HNZu+4cCvj9hs6c0aeBM0TAnbtzmNr8FwB1E5dXlbZavrI6x31e/X2hvu
BCD4uxrOlrGEMsTfK1j/XuVkSI3hel2vVU7MFYRKiNTwuuFbHa15h5rd2V2UiuwYgPMrYVskt9lc
R0DmlffToyE0aNcO7jmWl66z6HWr1ADSzq5FHM3ptPMHJdoJvj5JrxdP1ndAWdqLR1z/3E7qO/5N
DaCXBc+6QwfDTcovNueQX8YyYGf4FcM341GzlG2z+DeQ+pgnFs7zeGjCFmaDvAnSK0IHle3hXoEB
smsyWYHHJfC4gO+usnzt0oKvUz4XXUT7y+CB779y3pjiWSf+MqnrMZ9B9AQwhy2nnsANEVniwauV
M1kmFk72XZNL9cBrNnc7UL4OrhcmBlZ5qo8hQqQ08A7prPX64LJemeawtR5+lY92aAeBpzYstTgL
zOSqLYMUnUsZd4bON0BLuC4jE9TfFgSXuHLw2+Qacj0aVEuAFvFqwiA+PccM059CHVFyihM0TnUP
WdFxnpL0HIfW7/m3NYITcS6cHf3cnEMUO/+UETACh7F1vaqaWcfmMfdqAf9WWLe5KhTM260oYa20
jyyCaqYIG9LeDy7w1sOCQRM5KukY+tdLzm1fhgo4/k3aopxWEMit1QBk68zDiZVJkIrz5Dmr+W3r
vCRfIzz+3rddBZymE5tKS4ZxdztNhGdT5RKetCEAdj1gP2SgN0sTuLBDeIKBGU80YGeLrgfMC7Of
Hfsi6hyIn9RwcewZiYddDaLwRjDApBW3zB6jmgRZlWR+A9sIrILBSdRKgo40cergVQT7nUzhdPHi
3KbwHVKii5SICFAcMLvnQHrq54xkiypCDE14GAaKUJp6bkIDX2FiG28owc1DirYUMFY+OI8MKRoz
kznWlqikE35h8D2GMCEUoTFLdo1skWJQj4HNd6JLg7TZyRA+lvgm8ObEPIHM7eiRjxn5Xs/z27o2
9VPdyLcaBkVeYEzoHhdoO3Y0o+rg4/DwUSQSBforXa/gSmwvKmJmPzcqL+UoV1mkkGnKouvi7lH1
bVIplbjCwNWP+or0gB9TTdd9OsDCO9aW3oBhzPwysHoZqxWHDbnL4R96TCEgUhWbgfVgPWDBFNDD
LT+DQYp7OcKftNNpWsMK1Q+PZtRTvTPImqAnoMZ1WnhwQp+6gY9V2I/tHu6X+LEXfrDLYUO6EjT2
bkJhyVUoQVoOtQZ5nWMsqsKQzt97k5oDXF0hooJSHMKVn8+j3skgGS7QDy7TSaqFFrlefFuOArYc
kuhZFnnQUWhIIYg0J53g5nYOIPfjShX7ScF7jwcOfq1S2JRLsTqhLjjlcfizRLQV4+gvcAn0AacO
25s0T0rTy+aZszp4A/Jm9xDt5IfBz7t9KlN+53FflXOXNC8w9D21HEqwGoPbPg0pfx2WcBrgCxuG
18in6mzCiFrkhVielTAYkTOVsKmJ2gfCzexcYtiNbjnGkvO8BOyHaKL0TdA6eBEw+1zPYG6rWI7D
KQJk/AzwPRRbTbOyiLg/3iSURuhbURy3RUh+ELENw67vtlPbhvp9mDOP7dqEgQgFmAzjaR/3bCi1
YnYC17QOAAtTxBuVUYs6UiTwXMc3rdThewOvuigQpBH0BW/TJisFPrcE/IU10TgZn7rEhGk1NRBy
KvRaoj53cpj+kJjamlLIKPLfcPAuqsi9bJmP3iSSapLcO7IxDp823cA+WGdhCuY8eRvHlr+bOZM4
HjB57gdDoYYaaBxdg7pTV9JBVLJll4Tq2moj30U4WVZqwIxzwebW/pgmh72CTYk5zUigmD9nsFZw
4/J53vV8js4AqWtIpphd0cxDNvongYSU7ru0ma6Iw/xWeGhHpqqloxfvvLGD5tdf5/h50m37msrZ
lkJHump9b/QvZkmDR7BrWQ5VEHq4IpmWpj0saKrOqH79srNjA7/saHO0nlBxwNQbNUsAax/dlHjw
3cdyp+QMhwEUKVhESAnoGk7EvK/nBFRKJ0ou0KSp3TbGziV1IwvRU0c9XV96bXpxGw7BoitMFVSg
pOXJsMpSBbC9u4MH42pPbhMT0awQwcii7y1ko15fzl5m4VgGYSasfyOaIRnyEtO2JXLzgnbawAK4
+LGrGvBXGQyiUHMTV/Wzo524gk0zjPxSGwxg8q6dgQ5FhYXMOzd7ZeTIXupakKGuFmwV0Chw4yDZ
q5jtOCTTvkav1p9MY7zuLz1qO8e7Bvqnrt/FI7i2R+qH4F4OEkKpqa+UI57P77iRiA56Jh7kUgbp
JgYcwAyZO27/z87LUx/PUfPeVXD02/glBsvUPH6CtZ7cCIepzTdoNAyolVc5YtPAC0AvsPEg2Icr
HPOI87HJAbrqFfttDHTOXo1cGtgl+wxAl4fJlvIlwRGBcjw9mwaAQnY9oaG0F5/nviOlqbUZxWEF
u4W3hSOPD/w9ykw/d1XcTsb1V5HB7a0F3GNhqEuIXqKOPkZTLFmySyBUZdHZN2aEY7OK2IQeB7ND
Pe4/Ml1CyPSGSkCFdANztEPrLnNUTJczNFEZObAp7ZyTQGFnIKkMUVBIflrIru4tYe1OLlDc5MAO
+iG7XtH6ZTvqtQkFCzbTXJoiIGNOdqlbI3IA79c9y8y0Tx7UNVMRDjCfFcRg7+ygNul++r1AlwX1
e6PEbkh03lSzgk7FFms4gnxcE+M+VPZnZNrMdzHUsUfgwOx68GlUijAxNzxwrtvJqINYa85BBEuv
feTwGqenES0cHKS9dKSw/SL6g5p8qBhtJpce5pxZ/JSrjxgpqkhHiwTnqKmmaHUPmiE5BA2C1+7Q
gWJCpFzGsFwnZOoq2mX23VupdbII6mUMHjKYKOMKqYX9D4VgMFVoPmM06FdvxjSieNDs0E4ofTRN
LOaftWc3xAUdNbzSq2jqPXxaM/X2nQkyiHPCMe9L6pNhQDaEr4+BHtLXdm5JoMuUhvVQAlBkm8M7
dfrSZYlvqtCPzfQC6QNkE4WSUNmV0HSMSDkyQQhdEcCtS43JG+7xEX34jQXhZoslEukuFUl79mo9
QMpuYpgroK2THaQboTO6ynpkIhSpNzUH+BbwYlJbI3YC2rrjKNuRlwaA2fsKwQLWBs3vjecPuM9V
7pNA2jvEZtiK5Aht2HFoK/70IF4CeMhlfe2hDOs3DJdLc5/yTm1dVxSyIzqY5KxIGrN3lMjIHaKZ
8AfkNtAbyCTrnzX8/RI5aKuFXI0aICPryiy8t/7ylNnY3C0Kbt6LhI0N7HDaDaimaQezgojzhwDw
YVrlfFhOAUALVi3QxvyxRAQ+wlhockTQF4c8UcWPI62H/RT2/kuCnIIiT6FDbFS7QqGvV1fAcuQu
8FSGrAqNnmHqapGnVuRszudTnSio03S/Qg5a0wXO7AUWY0gjMA2Xsocrfg+GCDyrH8FYWNVzhKgL
dD4UKMwkU8gLo1qPaAp6p28iI811HQZzVvlxLdM9hBDy22LTCarjqcddQg2QvhHVZHXRoQG/Hb2t
49UZyfoCPbVjRSJoDjmKGFlT4UDnUF4BLrlbOyAAxZpImezEDIFdFfkd262jxb+pY8jpIBvpZDVH
8q9FN/0upNqWyxS71xTVYr6yU69k1Y5z9qBjNRl8XRyPGAgYUKAuHG6iloZXiEYQKWRCFLlZKqD5
lec14btrmUByi9R30OrxEhqw8DtcMaYHz5DmrmSx5qpMYdN2lVkckltaBc/4zjQsa1F/VdRe8SB0
8X5KlvjZo420FyBXIgIYMHSuaJH68MpyKB4K2JfVZYDCxN+lC1IfyzUP4WoYqR93uy7gzTdE1ail
xLmJrg79edVEasy255bcLtECGDoKB3rJ2i56GaGy2HIp29dId8OLmhAj17Ae2CMUlRBK1TOWfKte
a2/xa/RW1ivh0Q9ulIG9RwN3eetr450Ux6auFBPp7WSm4TzBRl9iIhfXwAXSo0f97BmIMfID6r5O
3mWILDBLfP0wI5fgJPQwhSWfs2Xr1vwO0pkeEE+qdXbUUdMnFfJh0Dh1LLcHhPjN7QPcsqxSALcq
haVOyjGKzQ7tS3DVu6GBNnAJXhrq7EtOp6CQ2viwTsZi12Ut/QuyYr8iMZmeMrT7h4DQ4H2AAv0F
8XsuLjyLBwfJ/ws8N9mNBcl/kEgMKWxmvkOgPN1J4ztaZNPgB9gH611ee4j4UwHpDjgPVI8xQ0cV
wj2vgKJ518sYqj84wA5EumBQGRFeuha2CYZnL2vJI29gni8JUP2TlH0AKgxKS6RR/HAG6L/aCQk8
SL3jgBLdXIEDh4vpBRPt0MkHRTQiTG8njlAlu9MZ3P6wrI7wP0MkYB3vRnANIByHW+IgpXGILIFX
I6yiwbdTc/JN03GY/xEXMD1RZpf4R9yTQRyRMdVNpKRE+RMCJ+aYLArFS0DNAk4L+gieBwzWeAjv
ghVtY+Y7ViqRKN+eDFI/IMBLQhvvCemX7C3p+wlFZZSitUhcSuPGjyv0edApVJ5L6hqCFgKNFeTI
aOOhqnLwQmPTQMaOFD83N3L40x89l+oKhCaEejstFycaMJasFlALyZpuInKsQeT+HGper/54P0fZ
hBGGRTZR6nnIFjrzCkRshrkPliFm+YXzQZuhQgxShjRUX0ZGj+9GrHPgCnyKZK5cBoKWrFgR3jfO
RwqbJM9LINbbnZCk9vP20NR2Tsc/jFevYVwwmgn8HbTwaWKvvEljYL7iTtM2Ka2P/Jl5/y/03K8G
EZB/MFDn8MqC5IRMD8KHX+n/3sfMwa3Mf/gcLpIv1jtMRAz6SUWIOjzOSzYjiM/viArTIlUtjEhF
Cx5Fl1PU2/SJfxBd/3xdv7LLuKwUPD3sqjn4V6jANw/+3xUSLHawJtUs/SkGuXmbuk/hRyeQFIRu
fABd9i9E5a+c/PaNsHHjaWzeYVC+W8TA378RoGE2+fBL/Nl9fuP8qaqJ4l6BmtdpQwxEcLNvPVg+
GAdZ+fkq/n+aw79kR8O5s9mS/sf2ssXo/pIdfWpbHBpM/z3K4esf/SekL0Wq3rZMtqRZDGbbcvmK
6cuD/4N2OIG4B7F7ELFm2ABfaQ4EOQ8QL/oZ2H28dWgL/ifQIUI6BMRNGUx4yVfm7f8ipg915Hdu
H7kQyPzDFkO/BtXHtvj+JvhhCYOlI9DN2Y5ByhCEMsSgAhBWIj9yS5xFhMnWmz5KMY5tMYHIoaU/
Z8h8qzVMTEcFXIaW2RaJsn6ko7QfSSnTFpqCqQb5KQHfslTEFqsyfiSszB9pKw6lA+RiqOfrduky
yAXBSyLS5yOnhQIGg8p3S2/ROItOa7BluvRbvMsKnYPazVAMIvVlGehZa4osGJJ54zvSVtMf2RYV
M+GQ36FgglECSDfB6gXSN64wDpDwOg+RuqfzLrlZoIcqutk86C2UJtVbPo37yKqBuIQ9yi3Axm5R
NlC4dw8d92y/QxAFUnd5trELfezX6EG4fGhjOR+2aWMXAOQ91kuSn0Op2FXQZAfLQuUVzcCGfdzH
CeTkDZKfpiUUQWVjOu6RGhT+0eZgVhm0/Y9BaJNd3pC3enYATQYH58waRXcm5Oo0D0jWaILwrknQ
KMQI6YYfgSWFxWB1F6UetJv98gDhLxDotoWOF56o5kdCQ3kg6RCVKu3FVdB1gMUSO6JXQU4CvLms
vtEgQC9L04Mnncxqrv1lN4YDhAxSdX9xiKj3syBur2OWlbVK9UOY5D9iSocqQCRpmXgNhAYa/2vi
9Y+ceCCN064vZRsD+ILbO0Wr98iVjh4im9urCAT8HdM41KQA4xtGzfd4SJZqre1Vu+ESYGk4TlyK
NJ9EeogRt91jqwTij0WrL2EkmnLCEylpLu7BlQP5tcKUDDv2SdiVFkSH9uIg0aykjREVHuNKPXh0
K3+m9bcVEeMdQo5GUOK8H3J8LOcIxpUyuIqa0T873/xs8fvI0gFkjlDmtqmQc5Q/pKjA91kI1AlS
Wk4LWa/rhXjRBGf87B0E5OCH1TP9A3jCEJCtma5DQciVAx4uVUT2AZb9zWCj9XVWGKN23jQ1Z8Kb
oJJEtGMRYaKqRiGWg+G03ntI5EogAof9NLmZZ2h8MBEg0Qtqal5m3HpHxBYCf9dYg5VFR4qENrj7
knV69kDNNyAtMub8PQWPMue20GP/4hbD79BC33pT+xw4BftTSx6C0W93fSZ/aJmmJ8QpPUNw2xct
5sAOB+xesHByZcfAn8J/WPbbm3I/wVMgZQURYAXCsP4gBgmNs8vpUS6zd7Nkeb6jRtYVrLSvKIb6
NpSd3SN/fShbUccnBxzgmSRb6jtHM9RR5YMND7GtvHNKm7hATMrrnFLknKWdOiA6IzxxfYapH6lO
6GDHCZx6D2KOaobuBXGdgAuqznLIWhbJ9gJKEMwNXCNLM2rvZRbXpxlC0gLZ8tEJkkB731kkcvWT
CCsppTqswiY3RM1nSG2XE9ApKsDV6OV+IcCEAucdPXiNLwsJmi3zHsakxX/suUfavBoDFfI7qDii
DsHQ8aVD3tgwwnyYJGv+jUeAbkiIFLsmY/QOrid2C23rd/ixyAnjxYjmL/ieyDkGp4829U0r3LLf
NbKCIiK8qtu+2/ugWSrp14izQ7jMrgURfudQdovGot61g4JmM+3d22oAGs0U9Xk2WIPMWfeWO8sw
hDJ/fESY4GPvJ3ALg6a4HZDOmBdz3hp5VyNi+BQBF9MHCZcnosBihOMhnG44AaGjSDCEbLEaoPx4
mHj6l4RRrqxDJIkuTdYitziDF6rwkikrJCgDiG8I68AglDBqQyAEFMwDKNys+yycoKFoRost3ks4
d81zA1d/QI5u7j/w1cbgbPHGH8Lj8Ok1CL+D66JZwuRWKEiGEBtrs6MwGV+vLVHJvcWB/Rgpii0i
Fiy9k5rm+EXDdXJu1s7pYlqj+H3C6mdlAFtKUwYeTZEuB/HSw9h6EEjQwFfnIfSz8+iA+Uw570HE
jtMJ8Gx9C0tE+4hgC0ADkGGmh0ZQLNx8XZpXmRG9mwHhHAPkcCGkCOErRZcp4BW1mwicaApR1sgH
S5NiXQyi9mSG/RHNM9BTu3r3EqX9LyBuYDDgL/6/7J3JctxImoRfZV4AbdiXK4BcmUySSYoUdYFR
oogdCGwBBJ5+vmTVTK1TbX2fS1t3VUu5AYGI390/n29H9MZ7hftNjz1XLeDwAAumYeGQCghtyHMv
TNm6t67X81eeyWkTzvV0O1hrfZfgVf+ANTMxEqkS60LOWL5oZbWea907eIZb/axry313iG3mYZ4x
tGPMJ6tNGtj5weHUAiyPs7DP8T1WHOtrnBd8i2FRZP7zJJVzqtyhekcnKZJjPTHnBNSezw9JZ7vP
PEeCDcpeup2UMpFtPE8kkVGSOTkgSiw/yjwPbBajNHkOykbeLzguuCpVpt3nhTuI0LTq/rVQSXm2
KpFylieS60VmUK+HgOnruz125YUp4WMF4RwKxNokh9Io0SLLjJsViaK7WzurS6JhHoj3m0Oe1BsF
z+JWoKS84vqYf+JV6b75ti23jVYglmppkAbh0int2BuFvG8c1psQrwwANl2B+O4blAVL8xkUekr0
e4/QwLcgXRqMW2syHYQxWnNc5EWnGEfVxUuHMmeHfmuNl8K+jsK0xerO7iiqA/dcXuwmUxcK1xeM
Vt55gA7f669JMCb2pslxX8ek74Czw2W9ML3Vd4zbPDwOU4Pi4NvFjuW58EkcyDqyStM7qXnsjgaO
dU7Ith4ryYSwIqgRXjXdiLGmvel05j8umu7GyZrADo1BPBjTMMaD4wSnSpNgGb2kHePFK8Rh8GyO
/jQa9K9l/0mlT6fBiKBotF9L6DjNZrQDhR0FkMDPK+DvNtFnEVum+91Os+CLlzX1GyJgu7Wy6zSF
JT6pOf2WrRbNQcmKiG1OP+SwLm6D1fa+Saev9iITKo3M1AFCqyxlffdmyPQjgu0zIiMzOL+2Fjvs
eknRSWsSqCDnMTBonLAxFFamGPkmncStlhlvzPtMZnoOuiuw3AcnGBnfFvAyXqeVDeQm1eeJa0kf
cM8B730POrNDk63d9MrcK5KveTA2XxRB8mFrNdlyMw0TbNqCGVm89uja2GHLQ5GW9/o65V+7xjun
SsZtVssIaW4zg2iOGnyLD/YYoCh5uAlT8os5tQfCvHMr9oY+5vZd57KxCJ1e2t8DbwU/ZbcifQbU
j7yNsGdroaFZhoqMIdd3QZWm52E0181srsnBZFa1wxI+xquwKlC9+nQytGzjTn39MytMzoik+Lyf
bpHDNpZDk13zxf2XFN7+d9duk61sdbK9/JrrEDGcmW4zcykPKdusAeCMg+yc92kBXLW0i3eBbNuE
/fU/hJZVLC3WfNsmXfZSJUv1lKMY7ODgQngxkunUCwwfXOCuf1P2hHRSnT1iPaeY6GoNWlzfTXs/
D5inNmZafsXib/RhlsyAOLPcYaIohOluumRdb0rNEMfZtY0Tn7DCeJvnP5I1HzEgjuO+Fh2yWgCg
uauIfZvl+iLUMk+RYRr9W2p13j2inPbTILv5CyXp/0/J/+aUbFnGPze8PP1c3v5wRP71T/x6RA4s
DrsQtALjerD1GH797xHZ0N1/oSjAcuIxc61Y4fT8PwUvV1w9tDAPdBioB/N6cMVwfS1XMp1/+RZ5
HbIsOpSzgLam/+CIbEAF++MZ2SD3Y3PW9q60eIZzn0D5352RmRVqsmtbnWQVI0+p2QghlfrxOfbE
m9VtMg2M8lK35cWb/dthEPKrK4vuUbSEqfR+OE4KQ0+HqeP2cyCqSO4lwK2L7J50ofY2eVdKKX0x
3d72QWGHjmOmw33jEXd7sO28NEG/N+ThOAf3vnkObAxvX/A8mKikWrm2FjTZUYhbX/S6h6NHor0s
YRngCLG5d8sCDviawvoOxQz44QvIitFZQnzDlXHMgsXFimjy1Nl4mW4P26yyTXEc7TTnwFKQ69av
Hnylgk3OYNU4eq0yn22FAFKGa2u0BDPtZPF3ULmUc5hyTH8JEdbcK54SpWmTDPEOSYzZrdO+FU0C
f88tUi9ezWEZumuPiC7dyB88QtBMmguB36CyB+yyLdIE7uEhmtwgu0kKrASIGx6ESamDbyUHVCg/
ZpHe12krXhcAnBzp4B9QjrP4m1n3nVfFnDf0rTTb50P+mFYYH8JlKghfN+2+MOdnnMLWrhhnVigA
X3uQ99ka4mPMXrD6zOlGyfzg+cstYaebbJ6mlyHlVDtVV1lkydKwkQGDjNT9MS7JTOZ0fiU7OESo
hHCmLASa8nmRIw+ywCiOuAW/gxXtN1ZSTo/0Z/EAW7V6N/GVahaoCMcT846pnsfuuNkRX7jINX/G
SvXRVvl4sw4tCIAyPa9Zh8lpGl/bejiCp232JZSz2MstmMR4SwclmOIIwDfENu8x+bVhaZbPAgNT
jLGvxbAkf7p5497W7prcz0HrhgNDxDCYJrAyVhITQi53trQNuPryziTvS94eESHFkB3ZLM4ndjT9
rc8cY+ORnyPDDDeiWVYnZGoMw/1KtMgnU+5qiVbIZmvB/qvURnSOdkmvqm9TpD8TK2nvHG18dMac
A0mtqp0u6vyKssv3Tem6ZM10N7RaxeS3cabtSBPagXUh2/a9GWxJutuRk2nBTrrzz9Ypa6ggSOgJ
a0dYpqAGIpIY31vLbiPpNDUtNQhLWAmHuKWMJhwajrQOKPDQ0dkAGxqnSN9cngynIRlblc9alRzW
tZnDehBgAEftxVGJDuppKY5Z55A5FXb+Qcyz/zatXlQYY1iUVDqEg+xI4RKWQjDCAnPjuiN3/ITG
GFv2qn0A6ce+KaGuOmHr+Xoa94Vc2Q7WHOnNUp8uypCz91jZpbh3dbNu0MPIAQvfdCHR50j7XuIN
kYHF8Alj+xiNurGmNA215rGZ0p7mG2vk1biwyjVM5vHHVMGd1BMp7wFDGZGUXBZpICsj9JdFvePh
1fVN6tnqOI15s6e5SM3BbuTSAuMKQQNPFu8WStowjx/QhWZUSPIOW3eZpuwDCZANJVJqt4ZQdcR8
piJkeB0YFkiT0xtHPnaq+g37zhpEiC+irNPMnY6xOOzKmbBdgTmDlOVbQaICs12qbfCYIraKFV+3
6KwNjMhqh8GHfh1//cp4Mnj2cmTFqtDeuKVeTHwZVP+ULZ0II37Fzj5j1y5jqNPFTaNhFht8rG+m
yJ9r9L1rvZST35q9kkZYT6sVg1Mz7rs6+dLhwwKXQ2XKSdhVezSCcYtkLU9UWIkLqpz2WNqD92bW
Th6nZdBFiLUMrKY04zYm3WFukraBrVkpHROXajd4hpCSEY3O1YDjlL+n2baarnb99a4tYYw91Ku0
tknnLBiTqmznVfK+yux8k6thPxt6ZgKmAAra+asfqsRtHggGvjZT6+zB5gU/enN4IPyQzdRbWVgx
/PGri14W5rqubUxLHuwKC2U5GRbYNEOMH0lrE5XQRu1GTU629eVkxA3R4I1oF2qXUj8FBGOwHvjq
nBMPvVs1Xd6qnO1coyaaAZsFnjbOfDRZc+IsYKa7LMC5QIbHj4Lietw3+p3S0p41eLzl8EbXnqU4
H5mAOHSISoexRA9zUfSvXPzLRLAiLP0Wv4mN5ZrPFuy7ZdnBXOE0z+Quao1FZ6oW1D8UyZmNfh28
TYamxWIou7ioW/hHlDIOT0FeBLHllyoGCR/Ew9gdAg3mfa+Jj6XzvqDctps1mKetPog8mlWwIozb
eIGbJdtOU70ctbJ7l+V6W43JBG4MX+U6c3ziSNXcQYPWT/AZ2k2jq2I756N+WB3H3WuOBz9GMORB
DcwjP2XYq/l85qksqhCvLOtd52IHpYGlYa+LNWr8ZsICuAFrnISGYraXWFQ/CFUYJ66BYTfkdhbN
ZfkxuVWwXcT6LUV35MATsJYVykluk9ZITIrDWPqxW35HT58jwkL9fVKaSZRJY2BeRaA0q0Caunr6
2hrOhwi6n/aYV9vKYcMgF/ulxtsc1eXQPVc+f9Xa2zRTTMv4geMdNXsoSjRmUlXeMGf3BKCLh8Bs
xUH3zfUEX4KvwSu/TXWiM2Tl7mKVki++anlgjNZjTqVdRD0Yc5vFZ1138+q72aCS16ZqD5NdQ7CR
HiZ+wNDboVjrE5S1eQNbxY6kpb4PKNlIBq4XzgHvYcZSttGDzn8edHO9L62BGVGzEmIJM2/CzjyX
grcvx7J45bYvx1uo0P5T5zn8WYtgQs8Qxq2WOdKqIH2YGCXcc9ooXr3CfXRcF8NllZ6vkIK9Nfmp
Ra1WITbOkPBFZ3lmf6HdgKGlQ6kGya+NvSYkm8D0YWeY5KwIuuFxyF0JjCltTWYtS+PEit85NIXR
3klEjb2+Lt7eWxz/21wOnEj15QeR3/EO6UIrNlQRyH0hRuvOqV2JtIBJm5VVjJJEvIoCUwbX3Dxh
YaHXlw7V8jLjSNJxD0qNLYZJs5hjD9XH0Fs+JquhSPlNSX20eJN6d8es2+GWadwR8sAQrDS1mTzm
VWo9IhNjEBz1E2Os4uuAXPW9SbtjNWc0FxVtlkZdar0zBML86+bmDyMttDpamb/S0JFP9DrNLV7L
vMyKCZFDLT/0yq+YzEzDIy6o7oA927uVmVbtgsa9Z6B9k9Bd4sVEMNtljz+94HJ2pfeepF4dZebg
3QWjk784HE5vDdgCMfCiauPkgM4EOBycGhj+Ny09RheG7H2O7VsfzktJriLUE4QtbxRTypHdxyQm
l0HdNX5e7SDZQHzz5nFreIa5Ies+7Mbe1XYFhS81EZUqf2E1K194xE1fq3nRH8tiTPZ64eUH3ZnZ
8Sade+waqRVgQ/FokuCeq+fUzAt1A4qK0dma9cdAM7khMp1iE2oIUIeYXlBmuBhlSLGjiF2ZwmXS
h/5hXJfxRfdXIGKM0Pf+0AY3dCmMd0xU+i/wvPuS+6+l1ZCIZlzWDpWD7K7W56Af8WVzfBjmp9Rg
hSWZxTgeo4mwmCZUQslNXnA/3EACAKfgo8F9ATK8ul/TUsvXWPoLT1Yy0gE3Yr+MoerdJd3Ype2e
IX9ljOFnV2OzMj1Wa6OMGMuRdls1S/6a1E6z7elTAgKxLtWBGZUeF36BPmbbpeaHQz3XDCyX5IFa
12a/1CyvDAMe55q98dB00/embhBoMq/YuuOa3mBhdNnMS3rzxlrWT0Y2Z6Gle+Zu9uvyhMuBskEE
gLhNuyqiia+irKMXznY2mvmhsjG5x87KtKmQebmRhTGd6madQhvHLAO8Jb03BbaTC+U5fXtHbHuh
eAI7FY2MEbFyk81CLbJAUT40MeCk4pbtZn5tvC29brYf21/bcCfV+h7mwSLI6iCcP7tzK+IlkTuQ
o6sgrPexNWSso4tfLWydXGs/Zq7zcu0RmmKqe4W3B1QvjO8oyEmsa4g+p5zuTiQKIN3FxvTTOSa6
KUUEv3Jm9SF5eZKjJvbTEBgXIlGcBYxO261ER2I5MsHEIicOjKiLeBqt/CQKJyeJPHkfdd/aP34x
dvZ5Pxa7pRZPQwkK7tUwyIvVdsDomfsx9Id1dWjt8P2frS/SvTvVbMGNkR6ZDmz284rBYkOZ0Wpv
IBSV28Ec1jedjfXNjHUc1ag6tx5Dy5a/9vhpGBUiF1+zxaYgBC7RcWViHFGBKmInMyzcmpCiN3AX
RpBK+Ed1uJ47sIBG1PdFe7bJ7cQW7/HLwC5yMy5LEFGWVGxSnnVszju1Wcx+3EyVd9BEwwSOg/tl
TPNg2xPofXPsxd7XJRmbpGRlqlpoiF7eZrs8tUgOtI5/snKmfhjCshnCmCZ3lWmTFMoCjLD93bVb
J/x0qArTVPvOqDq2UkTqYJf7S2gE9rzhusHHGyzOplMl5xsuSqBERZ5tZiyf1JjwGIe4VH4b2NOH
LUPivZYnFvQZniTN7DY+UVfkak3XFGFSy9pCtaTLMvC0u0/nK6LMflrK6haps4mctLEoMLr6YFGB
sp/YBCE4JnDzAE+hWrQa9+7Awj9R+aYqooRrXxFwKkfJQ2dWD9moB2e5UFlDyay7L5lAbsyKtINO
Bdsx14173wc2RRvLAhZdpG+D1xTwha5OeGF0/rnUOphgtV5ujAoVB3qd9ZrihQitGWILUmFWv+Ig
fO1ImIWZ9He2A9clpBj3HZl0YOynrwdS1xXf30SJGcLXhBkYbUuVaICFlzLKXqs3zJjZFT9PYKVZ
vgqfQ0Tqx2rt3pui+vrp563MSW8309iUbbhY1oakkAmEKEiORT44b9j8EmCouhuxZzb0SGsWCpp6
1N8pZf5+at2i4WoZvJ2hl2gNvZ2fmLGW98wfiElixwWGJYUumbqy3y50SRjxOv5Z/EEcAuwRm3WW
6z4lcvNzbjiiFWMh9xT8ghzSOvOB6TkTAdH/GLNlPHqM/0NosN6RuVaM01scfOESkjK18mh6tXz4
dB6nefed8xpbMSROegDXoj40k4CimspBvcgxITEt51sLi/kzW6mnXIMc6PWjd5O51hx1y8rGsc0O
ybx2Q4ghv8fhP30LjO52NhQdMoX5DLWJEIK07a1wyZLOeJ9essWoQ+uKz8KoIiNzSpwnsCvYQ9bS
xI+YnUBkv+KFHfZqyB571/jAMcX+j4xa2KSigZZjvtIGBY1aNvb7AE0r1tPeioVWPy+Qjj+EwIe/
TYGajCFTDzbfuJ6xv7n1xVcjglBL1SBpEj/5JkHfEwWQkll5oOYLIfy1RbxPEsZOADK3zmCrnM1/
bXDGWRz44VZwoVQdHVVY2Ar4eInHgL8HicidUG9cveyPWNnDGbvdwlEnifmphHdbFo64k67Nxtoo
tTY01zI3sCGsVbORUKmGzaRn4mzCljrwX/hXZeN/mKl5sYuWxcPPsyNSTXlUDg9Xw5p/JKWYul2J
nXKzuBNcLtzURAWWI9Qosnm6QfNP0UTVVUGfzOssUDRppIIJV5vhyus9wS4vN5yd6bAT/sUmTmpR
zlgap70nu2+pvx4XLvioAldALk67xUrLXqeiHYz26aMw5Lj9zU2OWX4Ju0AfsFIgYLAzNbFFdqc+
lQ9BMbzrCMTxhG10EyzNQ2cLeEy18ohOYlH5zWvuMb6/m037JTfsAXlGE/Hcu+DOKqvZZbpIN3lL
V9qCVBL3zjQcKJDXmVyQntJL5/03P3qRzHmUtepbmeLeM6GBAuXs87AYre+JI43H2XfK2F3U3Eef
NnVn8OQjax8uAdfBg6x307HvGEbBiYsoS7Jv0Sw15iyA4Da9DmYtcJtbe6yGKCH5gB8fHNq08VLj
Gh3Vs/LY8Xw0grXF46DE22AQ7nKoQ6jjUlvXHyWFx0tkqFJ7u8Jv7zy90vYFDzz0QZClex8e0ckr
OSJ5gV9QZpWnx16juIpUo/rOPotbKxX1W14Y/l17tcqvYzb90HL34xe7fEAh/bFjDP2wLsSUnRws
WfSbZd40M3s994vf0lb1m2U+GC1a7NbA3f7im3dL3PzCzBvUnhWnQS7MjPNCop3Rbh35i4M+T+ST
Sp0vv5no006Ne+4Dtfl00s+B/zzTTwk5vTEfqeoWEanBO98Ykrd6uRZA0JtJyPVqra84pGs3s8mm
5vTpr+9GSXbWDsZl+2my72kbn452w/pDdkoXxe4vfvsS5HXYcLhheze3AsKM2/bPvbC7m67zfYlz
ygtAToFV2ylRJATZC+PVbRd4IDNSE5BpsFmxD4DoZSpH3Et/69D3uHq6SBfzuIORlp/Wq9cj5oEF
frafUnZMqKeA1TCV8Ji/7oRYZV5/Z90vp2LcCwAH4e/9+6lWyQjI+fLoTGJk+KSXwg05htE5YGrB
M+aZ9N3JcN7GyMfpEjNTUxdVygUSNjfar2Z+b+DgjV5Jzd8fHf1IBA9KY1u/0utzFKh2pAWneZfm
SfdALNN8KYAGLrFjs2CvvWPcD9Bpifj/5vlnLWvvK9IuL7/4/gEUTRAwA/+2V9r4UgpNP+v1rHYm
XJeAw+tgPZDH82gg/JtEwAiX6tE0LYahC7oiWIqGZTWsHb8x2TNmWfzXYIDVB2lxZsJP2usvwYBe
1OitI+pivJTD/ZoONr4v0sQbizHUk7566bGgHTfCgaU+PkMDOKPZqK1YTKiKJDmQBQSQcDfnOJZd
p93OGk/dFDoCD/u5jTnsANIgyU/ibPZ1AKH1TU8b+UHO+rgRg1ueBKAKFGTP0E/t2s5foNSOS+gu
8HUybbYj8HafaS1sGmUnzo6a/X2dGbi25Sp286DbkSVKAh5aP4+3nzEEprfEKIEfPuns7059283b
CSrOnnEm/hTqHS8qK8iHXgMJC1pGlIqhvp3G4IcmDWPD4pTs3QxN9zOdEEhuDasws03eWQd6Kvz7
ZnGXwwyJ+uhqHrhJN6lie+TUMbFjjJg398chC6bbz9ACntLv1MwZG5lgBit89UYNUhaZNoBK+uYY
KxpJzaysV89abgHo6clFfYYaNIIqu4yGgOh3yYa2bGhfDOhbzwAXxVcTM5yFlr2svtJpWNkI1WO2
7lW/uCsPsmG6972WObARVFX8u8CDynjYFKCeSuZZsjxpXhfPDvLNb8kHo/RXevzWs1Ou/HM9eRis
Rd3NoFVDU5bPwWB+tVIWa0drNrltrTGTkreg6d2QGAMhojlL48+ARONp7dY0Sns/E2yw0+Ky+rjm
yBvAQqLgNkzT9c4ioRdWRfcihq64d9MJEAOE464bd3K15bf/zVJYuqFv9ZUd8h8DFXVQdA/z1D3Q
oVTB+Gl9Hu3G9SCYVdqdbxGeIQGZHbpGN0+21N5tzZtuiZuR2Gf9D38JXNBl9XWcnQmY73KSQiyH
vupePh3L/y9b/xvZ2qS/BMf1/23uPv+c/+sVcsXvzd2//qFflWtK96hXN9GY7U9vt0dW4Fdztxf8
y0OQsWnscK/sSBfQ4v+Yu51/XUlOjq67nmEBN0Ru/lW5tnVEbbr9qI9AmCRd5vwnyvUfkwro37DY
bUzddCI4ge/+mUtnSLeTup62Bzwo3OFlkzp3Vj+LM6x8P/7dV/M3dQ/XMMbvSGqfrwU38FNvtw3j
z6kIOegEan2jOXgksc6rVMaZmtrgWfENnLoOPeGfX++asvjT611Vf5wBULcCgjh/tK332EM9zoC8
Xk0kHf4pjWHMlFfjPC62xTYzca2NtfgGzP/cfPrnF7964v/04o4Omw5HAk1TGP7/+OKdpnMYhlF8
WPtxfK+rGpRJRfjvRPPoclmSNXhOTP3ffeS/+Yodvi2wnPT6wU6/uhR+50IYh7HoZ9+rD31tLPd0
o4/vpF9ylsW8X+5THXX+nz/mX17QNbhIeTmuXh1DxfXf/+4FiyuYjP1tsM+0pL3xfMFxOxsDwmaW
9g3UuPv6z69n/OV79Rzdcn1ylRAcA9P/U9AF36e+pskVE9YuOAsmNxnMawG7LpEUbYYJZFUNAn4U
3kLlNC4dau5zI3CRR5lb4hRLvcG7jMo0J7yZDrYDQfP7ycBr/lWZ/r+5Chzvb94v3hDufZtfk5v9
T++3oXY7Lepx2jseaJInrTad5GZIKx06etuxMenQs44glFSVkt12jCfuQXXRSB7u4Q267jEfqBGq
mZVhTRp4VmVuxbVEeRntQ3CwzjDfapqydZPzakNZ97k2wVGAxXBWI57YV2L/6HNwbMpc/a1gsnLm
Sa/1GKX19kYAa7kYo7vcJwxBUK562TrffaKiKnZ5zMgNuFdU0d5ylnuXVcKNIXyWwXW0ob0UVRaA
Qr1GxA+43CnsYeaMjnc9EGeG8ZOr9OokNvK8WG5xjUn7YWnUfGr0rIIW45BglYFtM8K5LgS9qrlP
8egt99o8LvdB2TFoWJJOvE6FKV7XXrcOLgJSF3HIF6/4++S9PgykBhCTWb4W0vebwuidN3BEy6Xt
K8MkuZEIRgzjctE6zXhidOTH+Zo7TIscszk0Klg4JoyMeDCMgZYbEme5THbPJxWlzcywQhOMYBcm
zyYMhj6e/Nl5qya+R3+VfG+9bTxNAT/a6nfB8wwC/M3V3OWSp0Ow6SwGJVvV5iNK56IxhB/Azl9+
uVazIrWmKLPyebrNy2V4r4pWw57u8GFNxVZqN8x0oxEnJfJ3DLwkrw9grzvOHi5eqE8pNXvJ5Bw8
sz9h0j6WjKw3tcLljKzo2m/t4IvXLCXDnXZ1cArw8D+LCppFaDc5V8bCtj6yoUHd9AQ7KVNgL437
QIk5li5MZdAFA5YZbPI18lS5gj+fen6kgFEs5IYiv/YiXz/rTFY29NO2339+//Yysg2dfBvZ0iOq
7WvZEHUU5Z0//z9EvpuoVnrBurFme43P+pB5o4znNAi2U3edCmbX28Olo0LsobolyQ1Rb11Ecpgh
XHaLH1wY8xs9GjWBOCLLFRLUeQSaxVSZ0b+5POIr1xnQJO2SyC14FoVgqvEHmio3MGoZo0fVMn02
TXYcYE9pO8IcxRx3qaaSC4FUp+JQ6eC2bLJpTE4mMOxXcPLzuwQbhceoGNb8flaaOb8MfP3Zbmga
uRtMerjCVWfAqPm0d7c6aGqKgRy+5+EJMSGjEkAxq2kCRYNTFdFJxv7c6jj9+4V1drCs47mY9wk2
/Jsx5XDjUuUQZQLVBcFBnW1AZRHuH+MrkmYXC9p8wpEU1p3mZiOt2t2QEsKSzrcR8rzN9TXMFOQG
+XIjPU3ubb9NSX+goIHXYbvsc659Jz1qnF3E7mOTZ+5Z6E2QQACx1QmdpOYHXzTYAivsq10j1vE9
yMndslue0jzm4g6OuGYXjm22BINqeF7ybDUU3cSGZn+hNlOLKP97awywXlRMO/a+Q1u9Wr4sLjoE
ey4pVTrDe2bwP5hlTcuFxxzXspk0Wb53tYSn9NrnOzWM4tUxxuAZIzjONi/1a8aNUi6XdcmSZ3z/
xlnYhnhVwzWMKsv5bWn99LlwXBbM1iyfCjAiL0VP11YUKIeKNp3kbO5ZFrPVgKl2ECTQRma/fXKJ
la950cQDHyPdGlbtO0eH9Gjwsg7C+Fb3mkbujHClf8CLvjJKNcSwbPHw9+XRNS3r+5pKx92AVzn+
hj7rhyI7pH7w5GUZEvp/jj+j3ch7NF3mwnEu54NjTZqMLSAWf+CgNWZzt8A3mrZA3ulX/CMQzVYm
+QcNBexXIBqHHvs71Dj+/4InVv+FFhwz+R74M47+Drx3u139NsebkJaTDReh1E51ldMq7tVEe1ag
t1+V57f73G78Oy+zOK9xV+1ATfZlpGAOvJLDYC8ixquIMudaVBqSn5USnX6TV2TZN2DH0v7c+4M6
KKvwyWopHgvIlaSlUZHf9aoITk7isLyV7spF001cKUPKGAXa+vVSmlJMy2nWGmd6KVlLOxdlPiwC
/h4JoWyHuyo4DTM/TVRRBkeeYCp4T55P0UgubP5BVjZcgouVBie3EpzsU7Nkve9lv1eZZB2UTjoM
OwwE/gmAHoMuyLEVgQuTRcvCA3hP6Jx7yZm7aucRi9i3PS9sJav9tqqCBf9zCfSyCZoPsP7rpT/r
VXZ/9R0QoBezfcJAqOPrcVb660dteG+QVTkbWj1PfnPtnDev4vk44ASfY5xFDM0pGyJ5VoHfZMeg
ONfsfnlbBmW5eKGygp1Eomk8vjx4ozdd1fd7qablfpTsfWvsWBgHqkYdzdl0mXFMqraXWxpTTCS2
PmhfZ7MT2Z3pSN51Xgs+KzoGL9n0ufIuNhiRgaeFS/8I5sos7TCeMESR9Puki+0epxJCYgTvST0m
Wuu8upnBwqp6rTjNosdG9PcIPHu1/IF10TMeK1xQR0b/2gddeQHgwZmUGu+ZXU6uecGzuTBWRhi7
ijVdMBpPoB94PKX90pTbHsbbyjvJr98oGAKAqo7isT4R9OKB2bNUPSbXX7QoIHSuU80VVw38jJqB
zSvEQa8D8nMGcYVo+U6iPxuagqPA98TW8pFMvTY9SpfeChHlzBEy/1KVlBzxqBJA8JDe007lW1Xm
WmqAfGO3nO4oXsVvYLDdqHSyXznoyTJKqjpn+oc9aXYB0IE0Yg/imZl+LGGDnEHkyIhSJKqPQYTG
Cz2Dx6pYxS0/f3ch65cdSvwSXxctyI8apDds/BmPHloa96nJCFUtnratptnhc2AMaHRILroXQL0a
kgiE9gN2rhy0UTptDT01IE0wMeyXpTu0dA5RGlkZlwYqMPNNFglkc2Z7ZGqQ3926/KDbx8Eg1iZ7
puT4M8dOwnTDCBixKnzg4f/QKnUXLPZ84LpmYzB1Oo4NoeNdIQ4h9RpBXNX7ZUKTYG+cPCKGqG3B
QzQuugyQFiUDtj7at0wVmwd+bZ7LzVIdefIxqWHMjPKA1cuvXVJK1e2E+44wTqbudCXSL0Jzp9e+
Na1zKwkuRlaqs4Fcul0VVBS8SMy6xoWdH4gUqB8fjps4x2vOMs9BsgQFXLQGkkni77Vi/Yk9ix/E
xsZKKbYD/BT2vo57gx0BGrzGE3gI1X+zd17LcSvn2r4iuNBIjf7P/kkckiIVGBROUJQoIWegEa5+
P01qlcWhTdU+3y4vu7RIDTAdv/CGUZsTJLE5IbivOA2HrL4cW8c6R1exba76nGbMpkw4bdKgY0Wu
OmLu4Uck0LpgJaZb8C1/S8VN1vEiOw2R4JCuT2FBUII4TftXlH8VN15zbPynoF+jjLHpTOD7drr2
KvuBv2b8qYVP2u+RuL1MDxENHsasHppjUSEotwHDLm5bqFIISCBjfgk8l9Tl6Th8+7mvUn+eC0AJ
+JURyiBTfPlcUvLChfXX0FUqgofBKrtj2c/FDPAMC7p9XVbLpyBIOItbbaLct5/+0iCDogr/UQ5Z
MRuclzhVpVgApRUTWoVHXPJIQFDsdG5Dc+rCXOW0H0DlGaBqR1piIm/HCzncn17h/yp2f6nY4ZBB
mee/F+z+f/GAy+uf5brnv/G7Wicc9S84HBS5MQgxE8jCeq7W0aj6F1BNAQvFdwBF/VGso8SHIQa/
jgwDhhLCFEF+F+t8fgRxhZ+6rvRsx/X+N8U696XciXkdKEi0aDD85nuiaXqyrKVeSs4Y72dir032
qyjXiChrmhwL7ZthyJzlPsOibDj0i1tAzOyxCPkxR0WDkR60itY5NJYRSctRgaeQTohvTv+wyJP5
rrNLvMq3ndcEa4CUC00jCzylbj2NJOSIFBwKmSPFFoL7RoInsemS3LG/2U8o+sc0WTz05xzIyaPt
h2duDyrB38zISKKAAiLOCqNDpTMDogULENEh/GMiPzyfXn+6yZ44pZgCFC4NNNT5x4egczo6QKYE
avyr/7MhayYbRYYUxapNh8FYfqVilJVQphdpVf7i4E6XW8/4PuArh4Qx36cSUzzfvf1KzkvlDF5J
SiV8iUkKdVZqnycTJjMHxg/G24+CpCe/ggKA/u/qkeCmZ4kVpIgsQ/FLRLYhvgtHJNXmJje95gaz
XdSLF8Qh5ehb2UVhUz9N9msUr6DBipmp2A+gvNf7pAswP8T9LG+D63XNAYDvS+X1fos8cI+M6fPR
8mP+f/HP+j+M88u7w5M2g+xTgg452WBXqZMaY5TkcwpJuPppT4D9b1ARtepPZRHV64e3R+/lMWoe
RFnanN6+eBJAOanfgr9o1RrM0aPLbKPC2xRR7mGFZ7PDZ1dm3vupr33jThD4BVIGDfRI/QlHFfyP
336Tl1XypzfxjcgQJXl8xV9dJwh+LLaas+BRwwsIrn0g14g6daUF1P8i7gMAdf/bQfYpcnKUuLQS
uafNofZnXdUSsYVAr3R/FGPbYY7aLg3sbGggq/HbfPvbmUX472DAfDsOLk8oGgEOXaXTojFAgCJv
Ut95nEUMhPynsyDyChaoGVl3FCnNEBdLMOIp/vaDX60knzUUmP/C8ODQPamRI2JC5TjL+x+IQ4Ho
B8dVhPpTBKaS0X37UeL1FNIwceww8B2jGWWfDGiGt24Ov6R87Ml4S3mk2FndFWSELcQ0jFvj5v2s
1sgu39VpVxknS53k633WywbjZvJcMKnoxEel+phlmFFRVtGVU7zLddyFy3GcPHzuj2+/9KuJQQPB
R3MHupewRXB6oAmVQzGimPsDXnDHW+Btmme/NNIS+OTWZUAbNYLUhaP0288VrydGMSsUEGxK1444
PbYiS9hz0/nW99W3hEOZBP2REdnKsEFuYitc0AoFWBkvlw/IShDD0A/uOtVscVB29G2KvSZ8cHy8
1+F7DPhSQYkOnOWSGN/r/xbLsi9OFjAvSFfAbBMYG6E4nVs/JoMsx67+noQpMmDYJCzD+qEH/MSi
WhcbovWZ6mngX+PCm7KbehIYLoMqADkL3jL34uUHC7DMfgWg+PiENCJdpDYtvDr79XwAY6PC6eLP
OA996alSYjaPbXnOStVgMZmdqhsCruHKBUWFuV0ZmSPaAunAA50FB/CPSBsO89d1MSEEWsArdIOd
Q8LJIW+vqTHVdDwS5GlDopNSRgi8rPwZTKMAWoYVYL9+YPsr/0uVwtS678AC8I6iyVSFYisSoV9Q
E2yyaj+Sh6736+BKfau7NtCf+ox/gxEr2scMSZIAiyEtS2ZkkDcljex82WZuYxnpPIDkfJka5iSS
pgsKhPiM9FPm8JuoHUX8SoqlXhmc+XpOho8DQCMus6UFvzVse5zesKfPYsWj/zGTBFvB06wYruG1
i7R2+xXFAzRgI0+36VVBtQhxPtHP1SVEr2W8GNEgZy3N6J0zdKlOxXIZksVyWdrRYO5M/OccdlsT
tgPadzXAeLBbv7+An4EnQCRTIhiX7WxgTQyob1csv36OzSH226u07aMAU6NUNkuZbXvjs/zPZ7RN
S3/ETRGySrYsuRrtTzdZfcZgdFOAqMe5STgcF7fmO8XPo+ohxcPI+WEz8gvTNIAXq4puxHlcJMq4
o7qWJGpbGvqOCbQd2fL1OOjNcqlRD8h+uXiDsmiyKMjKTxU4CYlMKExplgta8A57SuMZxKqJsV5l
ztwZqJRBVIpIHoZ4yEP3wvKoLv9oy1kzhvWMAkGx9TkYRXQTFliTZbtVjmExnUMM06Q+8VqZ2C0T
s8vPFsAh5ktkiqr+VUsHr8KfGvsJ3lg6mlNgT5lT82VqJzLrt6NuzZ/i0G1dfaF67fEp9VJ7bIUx
o7WdMfMU2onDnHrglSCkmQehLGTexVNIQAZbSN9swSVsYfPu3DUIvKNGFY3Xy8o0NHFbpCmjX/dG
c+9LOnr8YauQueC1Mk+ZMW7xGch+jfNEqZ6US5o1VxACeseMdi/jA6jXLFETWuvbJqz431aAowZW
mg2cDYSOK1EGXqzs86VbVnN4JABOHuhrdWZLYwPPh3a2h5fGxu+JGxFmbYSrbyX0a0YBCFrTL0ey
6T4rr4zWLx/Ydibh3QJYGs2qBmxoZBtztQr/CNYfwVJEj25Vgp+43onQw0BtiwlTkq2HwLYOPkSt
xj0M+RKj1cHapuYW0whZP/jLMrP8wx6mJ+B6eC4LNrbLVEPD8H2do45gD0VrbwN8UdL3mMun4ICJ
1c0MV6leoP067GVtnSOwVaQLKtrtUPfbueh7a0Kkv6c4BaqlZ25aL4Sy/VD1WFSj6YRsZlzfqLKN
PKw0+lrN4TawU/Se9hzEHDf7wY0zdFTjZqwVaDHidmS6I4f66zFysxEPtA3yG14e/IAsZ+HsyWG7
8J1VNudrmmy6ZE4SYPN1MgpJx171ZvFA1jMrEXRc2xxyHDf4k43OCGsoclOsAC7BZa38rHVoVIEy
8DFfvkfLilHalTnzUW1m20LV5xrpSyQ8DhmkEmapEjRwk32NIzKfpVrbnIIjg8/KtVPIVvpgD83E
b5LCtPxs6CJzLuW2LuePaoB5gxiTN8YcT403I1R1CQWC00EziuwFEIM9C0q3nQuLjdlHG+oyxHLC
O4ZFTyn7MpmtkUd7Ai+z5sBxyXWkqS5yyyMq2rDzQq8wl+wwjC3LcQ78FH0UGXYL58MSJpb3Hl0v
LO83HFG0WJp2oM+6D5F66jA4dEyIZTBmyw+U9MhGfuchnPpmcCbsaGp1BvOBLuY+TrLJtc7HbF2h
QoQw43dtNFURsCqITDdRO/PlAdoXnPZ6mSRvLDPwdPqARJRkY2fjSjgNcn80I/h7WZfpZH62eChg
Olv0nk3gHNSWOe57K+TSoqpqM8auxGR22hCJxjb704pTdi6yB75EdharF5DVKcfurlc59fGNXMUS
fLOqqehubGS6bpVDtY41RAW4vQgqkPCHoNZj86MpuWMuO5p+UCB4U3eLXVHafks5c9dDLqu6eETs
cO0+lQbC+zBhNTC9R4MXhgYEioGGuetPDbSXDFGkZtt6rtePh2ny0dvuWvC/kIVLuxTv3IJrFdOO
QYttyxx1HPJz2K4Zt7DuMBKD8q9NSL92E77DHp0CR6H8Zi3DV+WI0bsJimHx4m3Werlh3BfOQtGV
1k8iItZpFKOVnuCMV2wl5aZ13Sm8q+3uEDkI1lzObI4RLG1+Ndm2aA5aSbROfAK09TYGHlhz8QWD
vOgXtHY3rjc4YrtAlIYcGcRDr3ZW7RiVCDAmGHwhNH+UjostfG1P62WkKts+E5NInANWxaKi+iuL
FXR25PrWhyavS+8OQVkIOWd2I5em3Stkd+fbGR/E4cqi2m598iyvX++HilUNIysIurtV6hhWdIGb
TdecoQIerzO8BdkEOzWvRX4WpUM2H1YQmzDSFbaPTgKLYe2REBAlPiqPiQPZd94Bf13anyrz3RHi
hmxquXHc3h/ssyGqWj/cjbntF8FZVOJQcQ0RxcrzM3wWCGuTn0mINARszDrMRwfVQh9mKYr87uBa
8XXn8GWyD7+jb3spokB8mtBNoMk0QWPlWmpKt2z8OwCXTePtmmjq0NWvAVkRoyxa+kRjkT2xYTBp
NrEmfpkZEVTnztpcK4qDhM3dhiZ87LjA2Q4J9iYcDSWCoBwlKe1pER2ypZhiunEuisDh5UrXmpDU
T1rYvVc+4sbcMkPlx856tkjJZx5GFLs4AnCVMpmDRCeDt12ghBfqbGzLNPjiV33Fq2CCI3N1FlsD
tYZmbH2OSb/viezD3GKUzjzHJwqmaWWiaJgWDWdZFqbm0kDoLAJLixa4byPAWQWre8RNvSAkqhwy
fuu8RL2TL0pcElJv8v2yMwdiWTjc0RPQJkITSNYDA4TEurk5QwSeedMuTiTPHuUq6/VGe37LzxAD
n/kwO6sj9lLv13ipnvXIiHKi5J4s+BUnE4o3qqKmR95HdZhypmcKq5L13hnGLvg+AfSuD4GTyepd
XGeaaxGdFBNLVY00IUuiBjNGQ10Fg/g1Wv2Sqx0GW2iHb7gPqRvATEHbBJiV3fkMP2e48cusn8o9
QV+aW+r3DQbEhHHM8XfiRAvUZN5euJHFQDaxl6n6bEnpd/4qRouB5ZjJzBuMvQWN+fjPSKwtW4hO
obsSkcoq4RPrkv6Lt8tFtYS4dAA3Z8hSmzjgk1/Okf+lQO08v3ieRi5MIe5J/8bhNmyjmW/sZpVg
jsZeg6m4ruJcQ91ese2I1FedSx/DJRT943I69whH9e0qEZIGDLw2pvjUdfQ5knNQAyaosAdaqtNm
chaTyIcY8QRfSup1YqY3Zndy2MEQIUqJcfDkutR103X+ESZIr8MPUB6cOn0XRNLmfaANmn3gYrXB
V9U5QeYtnWKzRdBBNAWvKmv5hUij3f2QiYLUOG2FWWBuNKatc9Y6Eqcu0x42t2uidcyliYkBgerW
dRuiwMDtTLw5BGY9RkWWEVnbjED2K1qRQV1Qz1zMbxOVoHg+FaHkuhQwlrnDkgQWFQVVTAVNMO82
5m2ft0c++MwLnbaaSe16Dr4S81ZXx99Qe4/T7ugjeCPZ1chpskxThAXYZ17nmbVbVI6qrspJxHrY
xQUSeyjxD6jxEdROWIOmW1r+Jc+qIN/rW7vRqSlWCBNaK12T8sUSzN+D7sbUyJfksA44XJbJwxsS
5EtewQh3WGel7ZgkMGt8MjYbqzEmBGE+wksST+YZu5d1uXQnh/wpQM9/1mez47b5g04Efd1t9Bz5
0ILXxBp9HdIrRgoe8ZkFNNpTRhyulSIwmOPYJvuCH+7yp5icBTMbC+fGH4h3oD5jWyBRt27SJKQj
uFlhRn8Mg8Ydb6H2gXDYWpNg/K1EmaQbSK2JwroZsSPa96ozgXzc1KyPqI9iZm1AO4xwfQ6tVYE+
AQdIjIIn5XrPqJsTdxUtOe95K5sKGVzyB5ZT4PN4SnvRao7KhjM5ODbSRzF+j6EJS/8osJ4kVclR
jPjxvPUqXZjQqrBKozdgGvF9uxuQYDULA+9RXtOKXHQBYQHZ4VS9t715rloGZDUZt6+sgYGcMAZj
i4MhiZurIMg9gtdlyuKzCKGJ8WMwyxW/UFBnBVxvh5yCiw0dipgkENMWeQiQM+FjlDd0nFVZW5lI
1EEqjXNmes4a5zzO2aVthjByeUXAPwIjonLlFHvIBSYLfE4simg1L12vkD9h8LfBQotyCFcyXk+H
GQudJMlm9SMDXDGlqRjNq4/VzE2I8uYYDcMeFWQvv5JGV5lfhGe0fliQWmOtDUwj4siwONL0yWiq
X+kMJMjPPLg1/HmFBOPTyaEQfmIMQe+aVfl2jes/1IwQhQJITUNH+uK0wBqCCcLopJi+z9Fg8kyj
MZD4OwwJ20Jt+rHj+/7lkadVNcpU9AV92oOeAYSf1lkXbHhDewiG734wme7N89IoQgjIf/t2rx+F
ATgxLpriDsVzo1D+Z/nYAfEHvtqtv6deZM6nOvBcTVDIYc3Z9fZIPlUD/6wfC0rHUri+I1G9f92V
6m2BJga2Dd9ntxxJZMakBPS+9QcvYRsmQJG5C1csjfKHsfL8niIKbgUhbPzBIe+mCmE6G4qU15w9
zyfz795HhRGOCZGk33MnQJue+NPbr/9qqFzKwgS2wnZJx+navhyquYvKIZ6k/4D55Mx7cEGZtJDL
lRTq7Ue9WnMuhWFFK4hOEE3d03o3YVTqwKJtHlQSuuNyjBYsXO7FKs0WCaJ4+uuSO22hCCYGEQIH
YDYVdsdo4/25Drq2d8OY+v1D4yXmjBrmlCriiMgjF4SjzJ0VKeJ9gomFP/9Essbu3nPalf7529/9
dJjpmvqAAExXle0GGuDlm0zwpICpxu43ahKkjvDQqVKhpGnS+befdDrKju/afFvAnzyN4thJzw2d
oDZ0RSa+jRi351fIqJrUPM3I1I74OJqo8e0HvgQ50DTxaYOFQPwNKYOg6WQFDVm4cpgs3TeUX009
Gctbc8xxKC7Ma9S1xSyQgomXRG1lDslv2b/9Ak8g8j93IKEWaDbbBX4O0cR3nZeDS5aYFKKR1bc2
sZe42tPLWvM9VY9EZXiQmbBFd4kJjQMP/jGiM89FccsfTMmrDKBIJefT8+CUmW9KPJT+F3Zx7SmX
bGFFDZAroc+nOsROyh0w8tukIh84reXkm8sSNFkN2CeJQOfA0eR0IhYZ5EjxSEzdjAiYzinR7UOC
eWc4T2ktQwurMQnnMb1GNGgB6OxIspg+bc11jlYwsY3sXXPFQ8NseC35XKDvCe05NbEZN0ETVqJP
EZ8DLrTB5gsPHKo2fTwx/sDvOyqTjp4BmSIqllOWfXv4Xy04sP2eHfjISML9ebW0RzKLBDrb8rVO
WlCgx7gZTAqkVugY9IyeS9ZvP9LslhcTzlGLMx09GtxZgPKcrHEaZYDX+nD6quLA1BjHVAX5FWRM
J7eu7R7tH4TtC8BVzWEWCElShIWBwr98+zVOvzl2fp7NyRkovjaN95OmWhW01cRcJl/zmvLnRVoi
LXPn5JPTvXP64frth52eIBhPAFmiUhSgQhR6/skihzoYp0nT999022TrvZ9JsyyyrDGR1duPck62
NJ+OBgemGoGk8+a69skXi9HvKRCVce7AMIMtjShfDvEhpoxKpptmE7cDsPK15P8kBRvW5exDYCBZ
8zv0zCnrUoIh5TH9+wZrceJQsaIhfWunMRlKIjkEfiRoe5qy1myZMkA4BDWbUIeBKRPnJd2RW20B
+axQ7/S5i+LYMp0iVE3MeU1CkIPJQ144XYpDhQqed/X2IJyMN2OgOFds9qkn3dcdU9+PB9wvxvkO
MKS5mUEsmi1nTTWZ89uPck/Ws5lTDi/QaLCWqOufrmf43NRUhRfdhl799KzRp3SKHKgJ9UeOeo6g
5957AUiHUUAly1RJf/+p06idpCQINoPre9LUM8kFG046p8R+aDq38my01ne4gCSorKZNiW3C4iJS
7e4RZiE9TlcONX343fijW2SaSFaROeydNbRXfqbr0kz46mc8xXrqjsvn0oQWVEAh4Bp3J9qPgqgF
zKbm4K93A9wbkxk9t9DYkaxdMKYmeY4iqhzuZhGwquu/3Lfhy+kzFkR08m0HwBLYQxuS1ss7oeUb
6NBuoh+FduWXDIdq3Opojx6DPGw8avwJBpzerPDwTIsIT4moOpZOXtzrOAX/XOFVSdM0dvFsXUJ0
25OhvYvIX/sPxdzrZJuE2jki8fexpNX2QzceguxBB9JySy8neK/x0bhM7LS/4kZKjFRqovOd1Wfu
55U+sr6IuinzN02hbG9H1TC/t1ZrIDkoQPBve9V98LiV8oNXWO6VXDrcWpoF3xTFGyb08C+KwqFL
kBkwOZfIRAtvEMU3UBP+5YK5IWBDSGFi5zadvHW4nx8aQOHYRHRBQgnDILiR06huJ+mO96nr4qgV
2pZXwaL2m6/5qCDjWE13E3h9T1gUjcdsHrMDbYKl2Vb0i+btPKnU2iBIpy+KCuHGSWkKNkmWfR5h
WlI1j8YcJG9X367IUewIP42DqGV5WzuwP3rDYn93lqH/JuTq3SWjDxNoDsrLXPbpHre89PLtTfby
sGZB0FbmMIPrSU+fQOFkQdSUf2SLFtAj8wW3CmJFvg+KeoBF39nB3dsPe7mhnx8mAcqZa54Y7jQi
AetOaNep6jGwZQlGaLZvsSVwelyp8yvtuUbGIK7Lj7QIoey//exXK//pa4LVoWXDIX4Kmxj9XtVg
pcvHFmFF/JGLJp8PpQtP/i/XxNMn/fsafvqWhl9K3KcEF/JpEjmj0uhgM5g8igl1YmIerotNTcKT
7uakkJ8qp4w+pT2SJxu78BWK9xpVtzOd+sFuLgZgX4D1gvdd0KmLCif6O+5bhGWpKw73ZUnw4gxV
ic/BILyPts6qX+UIVbaiPPtRO4vzWWXkqRtRC3hR8Ajeu6ViHVuyDKje5PTixKQorHVqeUR1BueZ
duwOIvbtBzzw3O3K/P0lFjoB4TEkJgwgDGJcXO7o05BAWLKfvXBZH73RDD4c+eTMrbPiOK8z/B+F
26KlZniJMU2PFqj10asWv9q9vQR8s5hfzIw0YE2DBxEA1QJ5EiCJPCppHySY+Y40DiinoYY3h0hu
7nq6JMNOe+V8lOWAymRqNbg2UdE/1tStrnQTaFxAZWy9X0XsHd11oXDWReob4vEVzqq5dZUuFS4K
mJpWGBrfUgMt3tcWk4a0Qjsv23WYabsgPRdtZaMQyHBIvg8T+r8LyvrXrmxS/H8oeaboUb9HfagY
dnXUj98R3xrvbN/JP1pVyAURzGI6uM4wIW7bpfHtVKgkQw7X5gsgvaRQrYxpAciszWiEcCfeeL4V
vkuTxfssqGpH6PDniPi8Pbhm7E7HFs890v2AbFY6Zv/9wfkdKQkz7zJ6bAH7X1utm903KWqtsPIq
+1pM5BJ/eaJ4CXxlVUnSLFC34JEM7euUTS0gt3YlV+fPrMm8C8pmmDJF42JdUqhETQoJU056P+4e
G9cu7pFqwsgmVfZHSyv38Jdv/3ppEWpyfDoolYPEPcWWd1Pp99ioVD/htciCvL2OvtXdip8YSp7+
pkVImAoHhjZIzPjUCndZEvjHBDjsjjqJUlsanmWClFwgv6QDdheUfimhV1afXCGt1h9b152vgxEb
FHwXYm+Dro2DVu8ikOmJG7uEuCzCGorD6jdnFsNyyPLBulKBwAqBUob1Dn+tBU8Y+NBIZqTNIZ64
vbfoveTvStq8RJRuqWPEX4oKSAlihHtN0/Pe16SmxCL9zeAguZuUhYvUhCylzUqkXbQNqPp9cFVa
0XIFUYdM4UxfaQiKIt5ib9xcTY3q+02dohC2ZfxqDIJCiX+mDY/oM3KE6RfsuodfXupgQ9/rDBnM
t2fn9fnDSlGA5oCuoavwqq7nOnRC83nKf8IBsOVGTSr7DspjoWvIlJFTyce1N4qulfV90RkW0kug
m/Jvr/EfFmxoIMhcfaHyqA283CMgpfqyX2XxE4eQZUQekQkJ1jEp3qUFzuf2qtUtsmnjAdF/nCtU
NH9Nwk43rJNV3P5lTP7DhkWEitoyRwdYy1PE7lqOE7ZoefYzlnZw0wai/+QUqG1JCruX3IvjNYrf
w0UDff68mF1xNVSSi+yJY5bKJASQXE0aKbfR/QVyvoVf26b5zV/e8lXIIAPwrj5bHMy0kYl4OWS6
REVItd74k6p3G98RWfg9mr/eshl79PQciN/0lPo1QMu/8+tfyWpLrAWQr53OXFn39z5uJ+9sOeV3
Ds4kdEi4BQ5dhiMZkgGZ3KIMaf1eb//Hs/gLzwKXH2qN/51nsX0o0l91V6UvuBbPf+sfroXw/oVW
hUfT2hQo0TL5h2sBptT7l2dyFsoLcDGEx/b6RxnFQRlFkiTaIJbBQRiGxm+yhYsjJtuN9M4GkEI1
RvxvyBYnd47RQwkonpOPUrN0qfCYePqPaw4PsLox9NLranLVXk+gNze1mxGu5nLSHwPLXy6yWRNF
23Y+fB1qT9/BNsOkqVfVbwWe/wq6Fy8rEk9vQ6mFuB0aCZevkaX5820IkoCMJSP7oK3EdYySBfRs
WQfE0XqoiQQmb/wqNfxEcOkhp32bGZ5+tPbS2+JbUj2qYbDf8xkJunZFIe4o8IXiDOx89BNEsZj/
ck8+hQH/DhOe35jAi6IYdRv7VXHIMydHoJbh2iUSi9HlW4s7TcQGlk0uCC1rGOvZLpVRuFnNSQQB
3HbPSt2hY4AIxfCYzD0mUoRn/g4eca0R+E2IsmXno5FIoz75QJp2UfYq6XeQwdR9n7SXeTFB6ASK
EFzhYaTLsz9W8Yfn1/+TZPJ6Gqi8QYdEsoe1QSb1chok2haTBdX1GvUYdV/H9F82NLNZGk0FmZZ2
vrppIlF8efuxL3M3sM2QaqjzuUSKNK0c17zWH2vRt+fYa/q4uq5C5GswARuvKzqAaRgl928/6eUp
/PwkdEqQzKGyqKQxnP3zSQ1GUmuL2cp12NjeQ4s8d3EWDSEiXnmT7O12hDWPKjrxRwYQqvzbonkZ
XJnHm/QBjD4VkIDT4eTxUrppEqNYcy3RL3kowQk+5HgVFmf+WvYID+LRvthM/dlUtEgct3ktfw6F
6s8ntXjvZlr5tJAJvVEqxbjmzu0ax90lyOr/bCBl7lAgKuXWV7i0HGFgoPP89uid0Aye3p9rzKHP
rhzP1GBeDp8djHi3+pGF9niEkGM3IMUgrHyovA0RchVfTKDCvsehat7Na5uASvPmdOsILX8Ncl3r
7ZLE3FSgUH6mnSsfNf1o+ZccjWImb/Hn1oSeQHACk8Xkraaq+vItkW9NbTRO3asM3nakwt2gkvXM
gLPUYdBgprq5tT9qwtkRsHgit52o0LUAlFV4iMXjPlp+agpwJcQIU/x5wk7hHGEGVFT9trkDYETJ
lOwDmEWWYRw4uNm0ibK+up4aq3/fWisCzkiPI0yzRhDJHZ2URz8Yik9OFn+IlwrnwmKU7fUQtbeD
A80Gaq5jZGQWh7PBG1eAjFOYvaNjG36N7NG7SIJQvMMTVqvtZCeYyjMc6bkF7g4V/4U+gwBkavTe
flBpHG5QicRBCVFxeYj6djz3Ise5bRMxgTGTFrqIAH+RPnDtTm9S3JcwK5C4aTa9cw5EuzkXrSoe
U1JF9r1b5jewSWa5gSuHoGfUjduFcTgjR1bv26mcwRR37UGIWeh9AYQx3uopDtutRi90X9Le2I2N
ep9EVmzvBBy2I1eNg9KznZmysCy+IJ2cXDrgQm58d8DpT2WWc+iDcn0IEcHc48gDcFajK3iw8Lh/
AMY2/erjBiXA1RnQRqliR8eHGeoxm2Oa9kusx/DQ1ZFRDHDLI/pI/kYFXlcz0KUm3uuzDGhpNCEu
W/szRi1DEW3p+lTlWRfk+9jDsObjRBlgl/adjfoBKwnnE2pgiHGj2/EOraW1iD6OUwtqZbOkYJO7
xyRKHGf92k/WLEuENoD95PUPB6TrQKYxDuPY2Nf4yJT5fKHSdj3TCjT3edmllBIylPFvbNjd59ni
wtwdmYMIuAXMLKarDEMgXhH34VDkGCwHODTZW1AhInpPwoxJ9DFfJBxtmBhqIEMaXFbUhCEG3PSR
u/CAM3EWvddsnQDQQ9ig0iiwtSsPyMV0yihleirazzoNtlZEBOvjrWJX3pY0H1EIBBSn6DAVEhWm
HtQ8lPAqLtdtuKIXsq2w9kUqNDHMZ91jioV2g1WCEIvT8BfeVxJxQ7t2hrPUC8fw2reiOLqoXDkA
vNpWwCDW5djbnG5oLVLVKPcRgpLtQXV9hahAEZTL0e77stn6QGbTrcRKoTjr0haNDabV+UyJA5kE
2jmYX/KPbb1HDsdC5WGoqs9o+6jy3O3UUOzzZAg+reOApngGAlTgZZX0ElWnxEmGs4gMpbrhMnYv
snh1crrkvAFuCkW87kMxA7QBK9VMV2W4sLQttkqHVSrYpQ7tsGIXR2487mSlmc70iQtdrZm7/gQ8
oJBm5QXQbkdusj0XYMmPMcrH+GDnoL52GDZHu3WM0Ja2pq5RH1ADzlDTTNts3ZQU1a1LOPa4JjcR
ltsyUbLZC4r49XmSwuzcI4SD4Y35vY1QWEyzfGIXHSlkSJ7a4hbd26VerA0YTtzTxFqhEbUJNY7N
twAtnfE6aNQCjFC1w5U/4uh7Fvcy5y+oki70IYLFWX0FLYyYULuUUM37yV9x9oaWcetlDnJTc0QF
MkRO2z0AlZHuHuIgQhTlCBpnV4Cp6rdgUkDTwJApponIIoszfdMDF/nedIl71HKKI/S4fMj6FTbF
7sEvagCxT6pf69y43scnBTExWPwGHgx9SFF8QUUH4luWHrvZcabzSsaweJ8kMyq7NYszy9oetZEe
xYF58RCqstuJ2DGZKl6s7jl0L7nB1D0Se6zuklOy2yEBO9fnAIUj50PWjXn+yQkxCj2fPbpjV8M8
mOAzWeYPPpDReV9PJY+u6xX9Dcqmw3qGfLr58h2CZRPnE+/VlAJpo4pvAeSUoTLcC7hnuWbrNAXQ
pY9VJ9ny3UhU8CxGBaq+St63FOUNuqpJbKabXvN4VaK01eNoNLbzYQYp4GLQhhMes85mQoxGcIDM
Spg4mRIrUnyuugh1mqKsn/g56wJk/sNEeQ8obpctn9xhtvvLmDA3u8TSOM9uQm4LBJ9scd2quP0K
+RuT5MRLUucCuSE1XkZJjWLr0tEjIsBdsN9zGNatLdvlR17k/od57O362NqLzj9PQRn3xzKyyl/L
qswZQgs82ZEHhO4+pZeDCEpQqs+WHZWHcmpicJ8ex9zSTcmnFNrzpSrRJN/5TufEHHs0wTaAHRDP
ySwd7wunYpuswNDUuVfVov1ZciAvF6FgSe0nc2LvMx95xsOsV73nkpnaS9GNDgA/VQyam9bF3Fl2
bfYNP091a0GQERerGjrxOPQVnsmlEFKfp5PDR82lSNatN8VBfN4wLXjn5MhPr7XWw9W8yOIm08CA
QmThqcNq/7jCxRi3OUii9awByFZfVcHsvbMG2xgttVWpL2NgxpCx/L5MbolE0AJCkg1LPZn2GvZ0
P/UUe3TYcgss7U0RtyL9IurVRRl6JQJb7hoA3IoP68EdJiC+4wsraqbvSQzwcFtI5H3PKRmKj3Nv
RetZZzja+xSv1nVDiztzP+CnsPrXZdDg79Q22sb8WyTg+BEqmvr9lCCrtp9CVNVQZ0W3H5HjngL8
7MLv0YUTYhgO+p9X9WZcDRfUdVEZb/qg/Tz5i7jNwEkBdetSo88Wl/2HSlWCA9ZpVHYIy/9h70yX
4zaybvsq3wtAgRnIiBtfxEWNLBaLLE4S/QdBiRLmecrE09+FktyW5G7run87ukNtq0XVACAzzzl7
rx27UyCHF9MfJt9A9jB6T/CGIHBNjGntGztcnLNNyNyMzZ07mvQYxMFbCgclj4nVZ9XRa+vYujOZ
bLtX2BQEn0tKLbrJSLqCIoQondywkrDAmzwPef8tGs5tF/tZvGYcrpPAbvPcK9f1INSFsfd13PxP
J+UXnRTOSAbn8//cSnlYEkv/Z/2aVf3r9+CKbz/4rZsiXPAUPuQDHzas8z25ArOu/Y5OCtL5xUxs
ust0/fduivNOUApQdNPJp0VI3fmtmWKb76BZYP+ixw8iBk3332mmUKb+VHLw5OAy1NFAEikEOeCn
ClboHRVziPfGto3xTDgjkkC7da6KHKWSh7tpTU/UvLdyd9z5lT1vjFGJK9/wcbtl1fSoMkajuIaK
ldH0pLkzo2aYm5KIwHKWAoMv403WRyRGWns7I/oqtFvyxOzyeRqyu8m0e7LeI5+FiC664aZyFSJz
ZvMmRo2YFXIkiH8zH/qSfOG6Npf8uag4EUnYPZaWiIPO6+21Gtr8TdcG3FbWU4p62qoZWXvhcFY0
Ou7TynV2SBRt9qJ0KO6TdB4OBMg018qLGSrJpsBmYs1EUMBiJ4bb9a6KSBabNJ37g82Madt3g7VK
s2p28Xjq+omIKVMGk63C9SglfWpPNgyGFEL7PWYffaMzuF9RdjlHvfX3DMXva/pn2IWFcYPf7boM
ZbFOpYAP7fcm57tMAXMDxdGDw6USZn31S4KUm4juajJh2MusdsXFKq5n8IFbz9G8Q4HlfcWcA2qg
7SEpMkkz30uczs7KwVS7YWV8aJwSIreKnwWDiieGJC5nAW98KTE8BHHXiLWOIDU81a0y9U1exRyq
V40WG/r1WIbW/FC2VpYNmwSFmcYGKRmLBxU2iHk7kJFEeVBW3bzSHfpsgUa0O54jh52ZcYZ/IpKd
7MLJb6gcSWlspl1hdgBUPUfuvKJkypEYtncri7K/17weT5ni/B0jo5k7i8ZSlDgEM9A7SFHAZxvi
cukU96MoqGwGOztpKkEqvtYKiWh7h19hbtsbppqAuMjXqxbaUsBf1JHdUo+ynMuDF5a9277gknXu
27memHcINKxaihG2r9p0Ood9VuzKhlgoBrfePI7TFl6SPsw7e67b/l5w8FLu06RzTHjQRuX60UYT
aU40thkVgzS3YFZ8CZAPPw8L/c2U0CRstmxwJVnWuW68J5BJnifZzFRg+BwXAYhBDZhpBAyQFCLC
lTZ0QEoTNWrPceYk2dpk71IBXhJ5k+G094HENG/OHDVI9Yj/vYeur9UrVpKGioyW0HPolFlxAh1j
GquiVvrtPE4uuE0iqGgANDGpnQZVxoGUwnhflbnGpgoKdzX5A9l67CMRfK5Wvs+SnFA4mFoWKkbb
XLMJRrcNjLNbtyHEtB/regU0rpwAp9T6zax3zqaIGn0jy3zeM5Gt71x4y89CNgx1Pc6EVK0q7ZbM
IKMl+jwNr2hIhkAePQ1HeNczPYh66awNzehpKBjEvPTjnBEFRpWtEFrF5ibWu/6e+qy8oyKMdl5j
B7ExOrciHaNHrNLyus5rk6mfFs0vl1X+nw3xFxsidxX9qP+8H4Jw+vha/LAVfv2Rbzuhb7/z2cwM
G+UjGyLKzH/NFXz/nU08H6LopYPOr2y833ZCC+K6DhMNtcDSevS+ywq39HcmDUkhFpyYQ//1b80V
lg7xd7032m0I3JZ3gUoCw9vPFPTUqE27s2xtL1ACkQWYqnk/gOv5xdDvp47x5WUQ3ngI6pD//0n5
PRsd6+A8avtutmFKV2Q2WIPu3xYT5v1fdD35Qn/+SAhALYYk0GNc2/mpnci1SDsxWuFeGZW41d12
vIHpYx1IIF8oFsR7/eIF2Uj+9JI0w5kXovHwEbnrP/WJ8Y44jeG1IQ9+G1JpNlV/rIB/VgHDdbLG
fQa/z8yWLFbJIRpxvuZ5qnZuNZGXjQpqWIGMBaxIAGiyq1PcWHj7mZ0o0RJhKZP22GA43zVhJHYX
7ixjXBPbu2Qha43inGeYbHKt7Z8M8pkPYmyxbHNqPoWqT04kRiBpsUCRAsbQiytI0GoDq6I4m5o9
Y0zFrBUjUXr26uhGH1SymbyclkSd6/vZhFYFEtv1VzGw0LPZDcWX2ZqrW6xB6ZOpkwgGtDHfOk1c
roykGGmzltNer0IwLDOON38kubMFBLAxYlljp7W6a8/oqxPW7gmBXWa96nmk7XN3atZzq037BuIP
RGgpQhLWNbP61PlFcXTnxdlezfEQ0BCgHdb69lanDfySZJqYMjROrUcZR2QOSusXaNqO6o5xWadb
D/UXyaoh9/lKJ7kd/ZNVlB8BbdUvsML896nIzHsR6YLcMb0Tb6nf1USri5Ze05Lzis40TeS2RcII
Kg8tzMcshru5Sko7v9XzkVRo144oaoZpIJW4nJ7RHOWrLEzatWnm3HspwIXAhj52m1jGfSwTnUw9
zgtxI9wNFPn2pSBoZFtJvQdYyTQvkDi+39qiiHdxGX9SLRHzkeU71xGkbeCrM6baTceXE5dhftMA
X3vP0Vo7W3SKjvoMOCXoyOlEWTDq2jrDUa4HWqU92MTlkWOq4z6YSqyMChWGnkbDW9ThBcoMRcDc
HBGluNH6RBz4CjpE9O6nps9XE8r5Uwn7K5AeJ09Lkt6S2ZhsSZ3JsuhJdFrCTVrnO43IIQr8Qq46
SShUhWJ9RVqjizO1v0611rYC2UcKSIOfvsJlgpGheRD6B8YjlUsoIuaa+3DKzaNLG8iR9J+w/Xs2
tzZPj8TKeGORXLVJjfGzLECIOq3W32RmOX/sZQU3zqudj7XMsluaa+Y6m/v+viEGHa2kf980ItkM
zvxBG1rrZM5srKaauxNxNPNmEu70UJZiIDNejIR12meI0+8hQ1cITDMfpyYHtBHTHRGyJIuFDCjo
UyN/JidZ+bW5hB6l4zqLiszZ0EdQ0Ibzxp2P/pQreYXCFJbCCiStrgcgcCMMgN1ko3+R5tBNBARp
VbMeFA6ER7tNfQinhDFKf5wePYXvTxiE9a4dFUMx1kLwYhxSiJoXvV+WOxi4yHgkdGh/S96ASUHj
T52+TnJUs9sOmyEnhghv7pbz9Rzdj5nDn7TqZIxObkOMclAVbTndRa4GQiWo3aaLr0WojVUCiH5y
XswazAgZgGWo4U1qpTCf02HSnG0jGey8eQvvOojJstcOGYTToX1AOl4Wzc4QXfaiOXX2IMYCe7m+
yLKqwnP2I1SQZy9UWgszwyQsGaOndXDkWME44PQ2BA4my51DE/gwmWFDOIJ09oxh0NPITBEwWMzC
eIQhAEC+a5bf9kI3fIAkMH1yTXIugelhtrQzkNpVTj4BZUOJPGzI7au608tDgnR205OkDgS+CREB
4SaBSWzb9OY8DMhbw+0wurZJuXFq0a/KTic7U1NxwRVAiSdb/qlhGvEwd3pIlm2pDfWaE3RxlpZd
f7aphsHChkm0zUwbZoMSxbwe3CjHnQMg5YpGprjNncR9BTLH+7Py0WAS5BVn+BjLhB9xVbnCqsX/
52h98YX+Tf5s6b28y7PUndf+XFQPURHTgSJ/YDBYPPAA89zm639OgWWf9OoXp0DL4djwV8fA969d
nIAmqsofmiJff+xfEhP3Hdg3zm3f2iJ0Hb6F7ywSE2wNFsYtk8PF7/0QwSnQhDmIThorlLMQOH9v
iDjvHJtTi7AQKNGk4N397//5Qb/R/fTv3+sIfjy/0FnhXEbdweEU44z5J33YwqiBIzC452JkI1mV
iRzO4PB6N4DJ1f323Rfzb0QLP457Ly/GoFcsGggOxUzXOUx9px6IHGlD9Ovtc6yp+qW0K/NRUdw+
ZwkR1kQK6PVLhCDgVYwgsP6Ll8Y/gyJnaSUtrafvXxpQpCH7yrDPs5C8tABht1l4MXLjDa7xaPmS
MUeH5dJadeHMAeyvX/7Hk+nyyZGn4oGgIMDquzSxfnh504ISQ8lsnXOkXwlnm5GOv94Pc31IquXl
JHPD41+/prmcPf844X97UW4VmwqDKuNn7XtZl+EQ1cI806E16R4R32IWLt1YJK50dzEsHO3E4sUH
Y2i7XdwP/ZtbY87LNSIDVg0+oF3tRancd1rLwGeeIccju2ZxJOZSN67HOkQjk8wV08SuNhCTyrwE
aP/Xn+NHqcvXj+FSyGMyWwT1P4vbfVgcg2TudzYGjXtlWbxlzq679TnmPOIeXyAzRDb89asuAomf
vzwXASehSTwY/O+PV8xlN0ml0xpnDhrGI9HInG+w2X/RU9mcL9lJjl0bJwo5TCVqIWr/9ev/+cFc
PGaoUt3F2EYH9MfXH4UoMyhkBvquJdZkeWDIWCU+ZWyMXxjajH9zo1gGilPEqrwgzZofXytUHoAm
fTDOdiLkvUaQZraFdodwmNle9yYz235lzrA8nToj5tpbZoJa6sm7NCNe++9/cMy5rJYGeWB/umtN
W6tEo4f6eaC11qxsL8yrIzGXnD3BDYr/4iFBnbs8l/wHp8hSJn+3JkEt1BPNGs1z28EdICmYQeQl
h2ZYUomKNrWv6KdxKGCGnQM/QvZUjEKSeJsatG+MdK6uNZfUj6hxlg6kbvrHPhvFhnpM3sUxPUD+
1pSnjMRJOR0EnbV8+9df2c/O92V5wWOFIs9gq0AstTS9v/sQsJbDwVfCOIdhSqDT7BGqcLlvZF/U
L21baKvcn1j3AMYcORjC1Upm5vOdEs2+vqQdJZlNTMQ8zWQ4GCSRvF2Si/76ff6bVRDFD55J3ebN
Oj9bwWByDqMb2sbZmT2+kMvXbGCnfTF0YlWIgvjVnb3soD88xUBduasZRdD1By348yviqDdTPVPd
eSIL49rpC+cVUM/yi0XCxkAhc9daLmEWYRIyjsPbEpfBNCnxkAwZZyoL4umbBcrpLoWMudM5ib0k
Foc6e7knLl9Rx67hIgmKxRFmTXWtUJMdNfIHrkwyKWFnDNUvDFRfbQbfL05s1rR/PPpH6EGRNv50
085+JrwmUdG54qdWolYz7D5PS28bC0PuvhzjcUJ4Nqb92nQILFklqJrjrYgjivacv1tfKVnTv03N
caMv6qNxhs+xj91uMFalERG1rYVOOK91axYUvvGkPdUahs81FkgobhMmcsIchIfkEREfT0ZKHNKG
LQAlUpYSPmD7dXkeyj6+9rsiPZqFX53Q2ZOW6VctUqAa5fcHNAHZrVGp/JOedcY65xxAZLqaZwh7
cozflFMp99BD/1wnjPKrAybDwgpwetR3DfV8sZKxcLEYV5Q6DjpP0Dyep9XPQ5kToGSFnvcgBGb0
oEmjzA1ac2xImcGgASIJTWi7cnvT/4gVn3yvEmMy3BNYsej5hsGmV0tUhnYV4u86mtGwaCvH8IAJ
WTyoaTSGlUfx1nJSZ0JGr3Yx5TSdmcXoa6K6vvOiIidtHr1HuIavIJ6jeGDbzbhHPAWfAuAcMXj4
EZl8czTAv077l3dH0tNrJ5ac04vIkiMgC/FYswt0ieLHlAcdDKsipCYfT6kdIF/NvSMhPNnAzmzE
Bk2JuRx0rz6QK5GqG9eqmiNwO9/YRgouHmTARPpXNj7mExFqPfwDWvdBZMb6jrZOuxZWsSDG7Hbb
ChJzm6p+mXR9/mB0fnIwR1+uEUabH1VfVYQ/L6INbHxbE6Xyb4XogAJbtDEat47fuFHk52gI0x5t
VFSudWAxgKzCvty1EYLagmH9ihur0C26Z6WUfgCLRwU+ulub8hY/cxLVj5rjJxnzGb/L7ENZ5qJ4
9Maw0gU3QK4qb40sjuBI0qdQZbtZwAQSxCO8P1JkoONldqIZ2G0VoPBi7WeGqD9o8UiLv4BkTNCp
QirjbzV9OfzMpE9UGV0NPJKwSvTI5zDECo4K1celuUHUViug7mH+RBYVV0yFPZuCwsa7Gr0lyode
FUFO0AWJsPeNxTzKzMNawXerX5BKcWVdY+aiJqSsrXTmZesJmh7xXlHHpc9GluzEjs6D58/9albE
p4XONOHR0zmvki/GalQQ/XYJbwSI1L11RD9duQOxMQAsxdGzC5IPWyQGQcMT6q/gNfHXq8bhzVFx
UIhCmn4GvuGvM1VU11mZITvUneUPVbk49v3I+sxyFoZBbosiQg7Y8ztw8PhMqKaME0NBfmP20MZs
fbiZry3EBJxGucWfaGMjPREFzRKztKGPUbNkvoFCvQeLzKaeaKyolzWSM5x/DB02Ucxj7T6E6vDW
iOWrFEucXccYEtHN8m6LYaDMtxpb3lUcO02gmIm6ay5nkSxHM3hbFhnQgwghzzBzRUabk6EyJ+Nx
NMj0NE2abkNCuWHhpn5MQ5PtuZdIDi6BX8rkuzcKxYfikeSVsnjs3kCNyvt0+Sfk4Ah5opTTp56N
BPthodrguune6iXC6KK9STMkWCvQJur+clCAhI+25RL9YUrO9wyBuLRLwKg0/fTNtnKP7wJ4yFVF
9+KkxzzSbhXqpw6qbnXkNuLamcu7LSuyB5OuaveXVEA91TmEVxWATMfI6pdwyNnNaftACw7x0b+6
3YyKA/4Wfu6mQ6USjPwM+L9qQocBVBi16+WAMyxHlWxO+7evxc8lCESlYlGCOcpmcq1lDelmtTvY
NwhE/CNIFvs19oCm79h2eIO1ieoz8KFephukU+HHXAM6HZSXR8gIHYRhI0BXjkHsPD2BZmffnnA1
i45rVIc0SHr+VUQLhwssD2tbtZQqWUy3yFAGBwMEh1cuVxqtueVd8XGqa2vU3HvAUUoFjD55t+NA
73ya2HH75fZ0ytw46RFwP4QuSzREOnJctVEFDjf1FGnxvkDnyinNpYkaDDGu+80Sp3JkTsoNzMSZ
76w3fPGM0NJ7TDO/yTd9o5OfdYnzyuPceY2Lie+UaTif/7IIZLkl71VS8q3kWSKOriLWrRE8YbW7
vHwxIWpLl6cePSgdaKOqroHfkIDFLrVvQourmphAA3I2cr6HiSMo6qLwGTu7RBOHFqz1YX9m6N+K
jZnMZENGxKMd2xZrEiZ27kQbh1x3PSUsAY7BGX1jtDmLjx01UXcnZIjCza+WC5Q2NkuTWYXNvmgN
8Zz0syRcnnK028wuzvIAlQ9nIBOY1gMRic6rlaa02zR68iuRUobY0jceJ2sRk1om+eEB6zx5FyoR
9YsLfQRRmzFh8V4+ITsRZ+TOZQUCA5vsLgXvPGmkaRoWj2hEiZqwdNP6o6R9HBp+E8Mhl6VfTmkz
ikTgpEtMzWXbVDOjgHWNKR9n3+LGwIMojqXpawzKzWKNNo9KZvnWWgbhYp1ORj6v2+XtxC6fIgOw
8Fov+lIYx2Qe5Vkp72GnWOHas2aEkV1u+AxnI5ajhGiklXkJx4m71rECVNGMdsuM/ExQxoT3TqPX
7FXioLxyxJA797KdynZVTkvYl9bqzqstl5WFPy2e8aBTtuaDTYRmpVUbEi6m/FCMLj+dD7BvHrCZ
TtwiYcYXPS+bS8KsgrVPmqm2qyIyANGGjNFSkqOHnldxwT1x+QK+rkVL4T6mJuvCsrC2kceOc7l3
Q1ivtJv7GnC4l6iPLdvQ+XJ/2uYQ7lIaAbuxRF91A5qbWwQwIzeUk40HOCEARb7eEMVU+F9qUNrj
Ctlku9dA0G7ySzAsXorHy13hYvObg8wMCaAj4XNnLG4h5tl8CRmzgmrllvRmUU6UrERqzhB5NyZN
CLCVi9Bt+UDaVHD3Ja2Tr1qE691OcRBq19SeOE9sPgK3nPHowJCf1kYONQ6deMMOAx/W2kJNJj80
rVjtrcS4dTxzPlOpc1PruL6GFTgEIJNLiYdIBzFyFXp82X2oLdt3n/ItWd7EY7NsQFgzI0tNKCp6
FoUqasdw22g+ErfyktmXDj2PmdUsgtqoVvL+a+5pTamGCoDAv8i5cCAUQyRglHavrVO7hcXUchaa
H0bDT+S+H0YUpEaXIh29KFDJn+RdOH7P9xElFXe7boRz+9g7A4eQCCHjsz5h4C5ruXxeT0x39mB6
D4Mvi1vTcj6RhEyyoUi7vQN8G80kzw5y2vRLZJGg6ZlNGFguJfVqrCwe4GUmRYwqO5JKpnnV0/IU
y1TYfc5SdIHYd7mglTPNcqdBS9jq4PLHIGLgGcSjZLZY1+kNEGIDq1TlFFdU9nJfGnWpVnldlzdh
ZVVfhMw5L7imZDHkkImGtjN7fyNl1+uHZln8D2m4yNWxh3GmGuyKCiYv86tFA/5Y0mUjKSsPJ+0B
djCXpy1qfm2EwZdkObO8owMI+8KaWHBQnCKQHDnjYFCW9w0xEPdZRAIiXGvIm1iKri+Fckbo3TXW
ukXji8QTUlLL2wtnj2aTWXE+sMOJdyovm0kYs27PAK+zz9UlsiwTNVG/yx5uaGn4HPohd9ClMIz0
qKzBg6SAsNueNa2CnRhe009r915ckbMmIvtqqgU2OukIkNN992bOirBZJlxX1GBcV+Iq2D/bZTA8
FBGr1bxEhI+Epa0u6yaxJSyOgg1zo5qSZyJfzpuLl+ZY4K4p1mFN+2qSNiyRnKkdIR0c1RoeoZ5M
yV0SatlBq5ytGy0rM8YfdiBqu3hvOnHy2R5d1MZOPfDEXbTcSJLFUft6wmjIj9PYmYsMdPKV52GD
vaJgk/2+o74J/GFodwiCB+A4yAKoVXrnVc9wFZMuRcvOIYFhRZ+Hr8RLiZmGQmNSSRQuG4uLyugR
RZa7nhvPuqodMo7bOVqWg8uR2dGLLzi5JRGpZaEz0io8f+Oq3mT2NcSPcQstSMZM3mJbJU/1EGVr
bOGC1ZlqZ96yIQ7MilyYo3CHa+0O/EOFEG8Wpb+xWkvuzcjRPi3ovbdUDPgCOFV+YYLUPU/mRD42
5yrz2mCEdMRfXe1ymisfADi5GGjCMI8RtkGD3TQkgx8cSyYnsh1gWqZu8r6o++gBY9IoVwPS5zX6
AX2nfEedhFWHTzHA409Vo/ibnBJoDSflUkR3M2xmwJ56NBkrVGPM4RA/f4s0/0fn84sJDw6Zvxzw
/N82I07gtft+vPP1Z34X+oh3iE3cpfC3AaGJ74Q+wn4HmUG4Lm2ai7WYTs3vQh/3HY5jDJwMeUCU
0OD+14jHsvAWG3T1aFxxxCHY42+NePylV/xHu8iBicZ/YS95hoEkl4HSj+1B2PMmdjkOHE7u+yti
vEDEl/24m8NYHlCoo3vXKpjDFZ2vN46/3tGhG8gyZhjTfVUNOs73WnvFU6TfZI4tgB2H1qOLp44m
BuHW66izvVOcj929SsfkEeZ2vssgMaMqdY3fKg75RLN56QE11KZXXfORGXe6J4mNzE4oZrINuqGe
P+k154AkjFxohTIzHwAFZgdR5uV16Fn5brCI0JR9eVM5JqkbiMPXWkpuozF2uDaSgg28YEFam1qE
VLRBxRKEubxF+Joj5vfFUXXRSC3jSvMMhVmcSMvQbwyV6DfKIiuTeslqtsAc8h1a0eiDgT/nhGT/
zpDucBOyAc06zhvDBWjPIUloyFFq6wt+ysXCp5CsGEQxsSe1/R3iU5vmMDs1amhJRbwEFDu5Xr9N
Ey/CIkN6TEINVQ5V9tTYKaYNmdvpri5kuhd4GNeTPRW025SBd8Yc0FAm4W0/xNO5Jzb2E1Bu9aFs
B+scZeQ+WSptT66VyjNjFNZV00y2TegM17p0m48FE5Q1CSreth7zcecZGR8jkhLLcJnvx/LiYLWH
N01Yy4GLQBdRX5tlhB8RIsiQEDqQ6RXx006ImLcuMDRqVzkNpzX7P/KTsW12TTM6XyKRVkGX9sl1
79rTjtlGyMwpLu6Ai87mViA7PUCjDLWNBYvqukYY+RxRL7x4jYv8OHHrQ1gjw6jHqXkUoZ2gr3T1
G5QMhHag2Ujeh73dHVPyTR/syq53BR51EUzEAewdmXuU7bllnWflJTdRZM9bkPPYJBClAEGiLoQn
1pPmnqCRPbqwg+8Ep+MDSCI3XKWznX8aEDefQtfN90oO1rULtXNX1G7yMvhe8qGpOZWU9K3OBSER
e0l9ccK1YV2bk1Pt26GKbskd7h7T2aIzVXT5VaENV8zhpjAQpeNjmq9Npo+Ge9NENj4P2HD7lJ5C
ERRZl4PmiZ3bvJ6uzXiyuR3piGh6vwHB0r/CTdVVoGRmbMw69F4ba/rsNBy8IlXTNSRpgy5CaG+B
mvlr5ZXms2Vnn9Rk1dFKi2zzxfPLxwrV93PX1Wo366V+rmLXJYeESvjgaMBvAw4S+ikeAXitJs1t
XvGopDQys4bay7LEpyT041058kPRnORP2HeJoUY2S+c8K67TiIs4ceCmF5Xjo7Pz4sGzuv6j5SNM
C/rMeGSMfoXJyj1UU7ODQwzN3EUYHSR5mp2BWub3TpjvXTX1Bzecyys7K6p1Vw9ZMLBYAjcQyZWH
KWuLELpZex36I7qG6T17sf15lg3G0gwG0RyrbGGJZx88XZNPHqiqc20WlB19DUWmjTNz3bhGfYfi
F7Ok21w3SLzSlRBbp0+LXdhN+g1zBRKr8/MYhuMHbUFpZq7FQFCPLA62vt6tcur/Eynd7SeEurwT
gnEmXXq7ijpzM+YMLHH4WP6H3iMmJqh1Zi7BBHQAWrqKbueuynaa7PH3KeVgbh6li3ERsGEQhWoz
lDMMm7kaBn8txPgUzQqdZs6BE0VK1LDMgZAKRN3q11Hd1DeqDPWNYWgfUjOjVosi3M1omdHKuGTv
CMLkVrmWvEfIpF/leqdvyNZqAhOR/8fcjQnTqGJxdgrfveo6RxbBMhE4J72WrT2vXEEt715d+gm7
FLn3nd65BUmHhaWfRr/SV35YzGRA+Lm7gQ1P3cOucZrtOH6PWC85FvP4GxxSd8+OONNM7cZTF9kU
L0B/jl3qlqteaYym6Lrf9WnY3KT61DxrYZKfuqyoN7hjib0XVbSeYRxsnK6x3sPaM/cueIxNG/rV
Npap+Xn2ooE2lahfbatZNpdhtj/AD0qeyBUZ8wDhFhlwqYh2A85q0ksiLGFGGN8ZDHCCSdjgIKJG
PqB174Iydua1Un296ejXXftoXVMm3FWMTD6duNGMaSU0ML9cWdTyFInDDgFFf0WqTv2UU1AnjBc3
BKDMdxl+3k09kpcUqF6fU7D5WPGdSG7dphpPxhiZBwEZ77epMbP1hOqSHCK224RH/LqDLbNHRUym
S9a04iVz3WRdlJP+IQ+RnrIykZLYm2uF5+ZuHlLtU217ZJT3vrYleaq7JWw0v3JsLdwiVuzOuZr8
JyjP4dbQG/0hHhP09TR7tZVSmru1Yq89tar5WHaz+qTPA8s/fLeZzCZpkxZuTcYaP5sVmJ12zTHV
xFJC+jrAEeIMSHZZMuB0gqrxxpwRBS+xrGkaPQ4OBxG6Mw0jK6ws/bmJmnxfUQkhf6i9DIZOR9sE
DZfffBFtnV2NeQzVQk7aMTGLjfLL4m7E0bynBH5xWgelKOUKvES0lx+z3n0hJe1VD4cvRMC8+DSb
S2NGqDVPgBKtprhqS09tSOJ5NJuoPsAz8B7HOjOpb6fyEypf+R7c/os/EhHNrZ6ovs0ONXZPfTjU
TdeM/S538TC4Nxy1ysgNMB7rpKUTJ2ZvFmbqUZqOtx4mOfh3jK4V+Xxu+GVIlIUhZpy4cCjHTPS5
6KFxsei7QXHq2RVxXd0kJL1VLzULKGevJX9Lhtm2IWurODDXaNcLtnPNIS+7ZjhXHoY28V4c3P2/
UT9F6V3IGOTaix2jfaSXGYdMMfDClCvZTZR02Auc9M2HY6I9OcRsOAhyx7BEopxk9Ie9xFqXmq52
RCaU29Ht3iM0nIJWRjleGa5kH9nvpWZOe5f+wEoV/XDiT8qtyD2Ok9TsSWsfB2EizdUpJoMsYpfR
PETfnEWeyjnONzGQrAM7iPYQa0l0REVqrKLSUKcRPeSp5Woe5h5RcJxMr3Ym1KEVroYhSht2RilV
AN6f45Y1m0MgHKu9TpIroEoEKKg1Ie/93s9JwiROmNAVpPOEu9nnYmY4mWKIuJptMoqozMJDW5jJ
odejo2vkORZYoz4ice3XKvKa3wbLJeQFy/ouacZkSxib2IBCCDdtklebKbRrQGMxcWY9fsmVw2Xe
D3ptMvMwi51DKfuFTjPH6JoUU5kE9C6NN9cvXf99pw+QrD5hWoIm8hQ29gJBxFibFPlXodE/Rdwv
ijg0XagN/rNZA85G1b6+Vd8XcV9/5neJng7QyeYgwu0D8AU53h8SPR01HlUTXgGEIjzDf7g1bINK
jWYaFoCLiM78rohD8icMLI0ulR+Tel38nSLuonL6robT4an7HpwUj2kjJdbPIDedVYIISegCPjAS
gkyBUvlq+NCOwi7bQ6oT39wEGcVknO44FqH1Plr4t6dNRAaz4/UBo3S7jg6wI/zMuik109Jdhic9
vuMURiwi1243ZGkvw11GLGaSHMkzHVleZ34X7GyIaVjYT7rD0XyOgmjA+hUfjbFwaN8Gk+9pDDs1
tlMCE8viADyRyV1mTQi0ArS1o/5ili1M9colQ1Y9pM28AMN9G1DgmaVpiMVtkvSbqReYiIPCB+S9
gm9A9zUf2pmRMMyjMCMCrMIB9c9T8/n/R9zKtNXEJPOfH5u7z2XZqXx8/Qmg9u0Hvz07Hl0OVncS
HrhFl3bFH8+Or78jnZtkDpMYXx4tg97E7xpX8x2/5foIXVGfwd1GgvdN42qJdx42XZczDUJXRNJ/
K64etuCPDRAbfwDlCc8gbRicvz/rZfLCYh5a62rveOQorQejSgycOBMegMWBvhFmalhMyZO22E5k
BQmONm17ZfsQbbdgqCZgp7mu4RPt+txZxwy12ZwyGCKt+MRYILydXFddF8rQ13Yy0NqfC98xgkLr
SFE1lL2e3dyswV12hrbxCKHpA5g7hrlpU4BHTCSq57ZTLebEJj6Bntc3njbPT6GpWeikEM1uWkHE
KsGeRfMQZS22V70RVLJEhXivsEs4QWdGFae0Ji0s+notsjUPaLge4nKfeHPyWTOM6NOE1vQGNI/3
wVFVOqyFJmwmuvn/Y+9MluNGsm37L3eONDSObnAnASA6MoKtJEoTmESJ6PseX/+Wh1L5KGZeqXJe
ZmUqU5XICAAOb85Ze2/Ydc1mldqgdkKpSCqmTtrqZN66TpRfjYab3hCy2J/GqVN2WpiuXqiG5OVV
/TgHtOaybQooOqLCzSJvJvt0o7QW+0UcXSjS1ihQxtw03jkttxlr3oyPADY5llY0kGdE6pXOnizQ
Xe68SIR2nFa3uO0Vw8LUcy3uODhVt+ngtJgTOUKnmZ2VR3o6tUfmRehlU2xvsZtUe691ilOJs5Ea
LLY1kbyYYczqlab6AWez/nqoxFOHU8GD1nWls3OQOuccpNKoxv7EyXayoPJ+zjN9m+JwzMmfar03
rmF4ItYr8RdDzbyiKtcTeWbdvW1VThpYVmgeDTzfXzB7KwNRaPf2eFu4OfWSSTQ7Eal0ZgZ6Xl2l
GxSUuuGjhkTiXVsY8w2VMNNzCyvAJIXYvCLD0jTui51RzvnRzdvw2iVK+c5UcVdA9/IhIRbUJ7Yt
wwFhWLZlEyF4YGsdoBwq9hPncbXSei/L0vQ+HBr1Brzb9sNZTIfIqnZZajhBIabJiwe18sO1Ktip
sIXap25obgeryF7caXrWQlfZVkKQ9Bj3uXbPII823YzTP76gnA1z1wioYE5+ZujCJ5v5rmK0eZrt
XlVqGDN/N5avxN3TWiBUWWeEOrFuaRtzcfiWHfBYNEThRiNT+piTefSEiRkeHXnc3Ju0i04LBM8R
//zGT+niBq02440h2vhsjA3jhmE7ca5d9F2NwQ+S7BgtuypYHwAVTCyAaPhQQ5CnuYTN1s4SxRJp
7xzqgcm2czWqIhuTJASkEukUR7FzP5FVbYGdKYisHnQ9M6cHswMv5JDWZLH2no5jlAYq7ckrbMrt
u97BROrDLNaCYAAALFo1LvvpTc7Bgc8fkzPrM87YRo2aJceKf/RkeHEbELyHbf/sGmV6mCrp2JdX
a8rVQBgKqChCjscHHGDE9NBnyWDWnOSV1DhnBnTixyzr27X01zErkaXHJt7cS82Z2h87fWZmG5Io
+ojvd5R7aawlPB+lKhieU7WgUF5wksZ1IJm5fJJikBPlaek4QGgGPjn7pXfERyni65/JXdQyTlSQ
M8PICgx7h+u0gYdzGWY96vbSCrMDzUpTIWBdxR3rscwGi8C6xsCsRe9bPeTF0ubgsvz8d3/7u/0t
C+uvFmriYctvz33yPPQ/bXEvP/Zjmdb+wIwUP2I64N8FJ39tcW3jD5uNLeSn7SAXgH18vUwzylnU
LXoU35sRP5Zpof5BiwJNC04fNlFi/1KQLGQf4tUel2WaEyB6ZKS0NnSw/gZjNrEZcDlIj8jzI41Y
+IRzI5l9ntn3T4uVfXF4AzZ1tfY03mfXQwDVbeZ5ybAPympP7Z1HZ3ToZ+akzc5Dfj06oiMXxaLs
2hq0zxiqdooz3zKImapBuW6FUag+1QCYDqdxt7Wr0FiwBvKRXP2uZtPqqzEH5VQ4WaA19ryJUIRt
OBSOODSUfCb1Ez/NuqcxdylwJNWmqSsytMz0i4U7gJ8X/PNM47xfjXZ7qMf2CScR8ExzNDbpaipB
EdrvWTvuU0P7MrZ8vGXWT3mFqW3UI5WsbFzULLQPZCOTosf1WPXcB2rbPFlaCq4jhaqTwuUBD+rU
nEvVHxX70LbOISqJvws7bg394iDqCzJD0uyFaJ55Y1ncSkISwXcbfmk+cgsEQk4ugdugOoci6Tof
n7WUxZbvMNaCWmaoY9VGLOYefqHeVjkFAqux+H8zcYePQh/In0wFwrvEHZBD6rJQvHAL6tzoA7PX
1ruoyu9cdpxB3vGR+LWZV6Zo+PqToQdDwxcyaivDhCV6l3VsHkJIFJ9qw8uCRcWeAHTdM8OFElm2
4JuH0/JzmCsa98F9dMHLAqPMyXBWU3ZsYFlb0TsOobcjbZnU7R5pz2coqqn2k+G0butVXfeTw90z
sF3yJ9PG6UV5vAySpKETv4im80Fd8ENcDDRSDvGvqvuI99GIHxx/FKp5NyZ8qSilZ08lnJNZiolM
FRXz0XZxOhmxaPLJGhs91bXPSadlhBd3emCPWOhboYVpoM7AGnJc8wrTPDOeX4itpLqm89XzKfmC
ip9nv/K3NGQCHjWl9AHJOiSKFT8jt1idRtFft+v1pDad67Vd+3R53kXkYKxO2RfgheslTdvd2C79
46rhZAcwmh9VLXrhJWdUc27DdYzR6dgMlUq+C1HTL+/ymL8SSvrFYI+44c2jWFhnyXngdtnCflzw
6QumhvfExmvjOKFZPMWU3D3X7p7sjF9o2TxhZ2AwObyNl5tR1rwUk8I/rbPiS4EePoAFaI45HGbA
Qk70aNaFx4VmyX3RpbWn11O6mTAT8AxScbfkiLN7ZiPkF63glqoj3yGKO3BzZd7RQiT5ugkT1Jkr
bjM2LyWtkOtkSktqSRWjDFUmrntldnJ0XlRDZSJwRipV1NzyQOU9Qd2d3I2xeb68XgYJ5HtVG/QA
ERvBzRVC0ArAaIMPfudD3WbHKFbL3UyNLiBvmNcww5z28mzxxpc8fXltjaGcQhgCZd24ngH0611G
ORztCrPUujvK4lmAb5+7JZkn9yeF4XwZAHKE84rfJWItd8bCNOaOvN9iddf95TH3wyTT4BlG9E77
YEy18HOdmMrejLlUki4pgw6askf7wOxlJl8oTPIItOyF/g7xOgZvDwKHxGMzgDSg1GDd26G8xhNy
PpuzuXOm9AsJ6BQN7Km8DjM9CygA4m++qso+MnlPq9XUrvEYcre2xSArC6O8VjqXT4fcZu4taLQz
OWBqiOeX2Llx3lExnPll2jR62FFYEm8wfPw4QZc5gx0mCxrSLoF45qRQMRcwjUDJIybFSGNym3h0
l4zocNDvYrylCFMtl13dM5kQqcuBpOGyw5GvMA0abxEZ3HtqC/xh58b3uUl3Zz24vLRYagKjR8oj
vzu+NVuGRGuKO32Rjg2hAg9I/4llZ2IwNXO97aiHelmVqz7OniWuv2I+DzYbaJA5gDjegMu95lyc
+VnBrxw0nqsoMS4Vc9/5igNMmMsGgp0r4a1OudonnjLfOWHz0tj8z8WQBrz07AET5hOh5MlWa9tn
h3wpghowcK0a+31RYZ6UKfGtMg1nWwbpGLgkHJcEZInoKEhGVOps/3RC81QSqxR2vWu+fsrgFccN
AjhhBWgDOgX+p02/6Gk1+zQuXFwOVP3RjLLcJ+INugu/0OFIcjKP0FBxBt2EkSaGAMkRYfJV0t/G
kSA+ckNxlVZz281jCpTcy40n2DuwYlxrntU0yrEOh88K6oGv+HU8i0StsIUy5uzFaQxlxWyWw2/n
Mf1P+75sqy2egrNbb1oyPrw6bXnnUzEqfsRS5OuaE57cCWx1mxsE6J4x1nLsAx6QXbHvl7VXnpZI
jJx3ojG/DmPXIFa3zTXLa5asSc7maOlLEKHSVu5LzoDH2LYeX23Fbr/vYF6LbKV+7s2+RhAWZ2Dn
ouJD/laImbuKvgpcQfYwl1TZ1/glyVhcMIx6HNrKYFjx1omEkf7rz/1Zb8WmDbWVJehE0i4ig1J9
s5/CiVonwLwe9tp0mex4B40k+1pOKCXmOnv59af9rLX689NscBddICbEv+ZnymSFqhYJupN9vjBA
5E7AzWj0RzSWv1/Xfw8BvzkE6IjYqJ/93+W6E5sy+Z+6Tl6fAv78uR+4kvMHTnyogikkI7KkBPjX
McDVIJmQEL6WohuvStrqH5wNbJl3ICjo2fh5v5Ga/0p6/vatwBZCdwkbk47ylLdtvsZr0eLAfj3u
af8cGozKTmrRLjscLDlCixx6xlejuH2eh7F5rrU2/I31OOkJb95J0ugoz6OwtThzkPHw5tMTyuUm
jH92KNJqPYE4rFtF78BLKRQ6vtnH6r5vTC3a6DjnUh1jspBEhl5eM9su71ZqKw0scMcmFMeFlka8
tlQtxi/ISlDv0DRfJNteZ+2KsDylEX0VJtCJQdnVemAg9Tq5dgS14l7cozHwzOiFleM3O0Xv7DVJ
AqfIitZx+DCs+0ZZAATScGYVniA+5X6hNuJlZ48iPFam9AyyCF665muaZKpPZf3ZcDnhOCqVwHKA
k0cskWrk5wmlrHlHLx4dEMWDcnQu5h2LwlP6OkZGZG0n11b09+oYRklQDBHWs+hhFPNjrOI9TMFo
chH2VQRW0wWeSP6Zbom3x0TEjpwpOq+uEjvbKlu06B73a2ur5lmB/0iCzMvZ6t3Ys2rHqmEeNCH/
ZaRhk/w0U6srd7AK1ga6maqRdbE6CS+2JxqZxIbjUZPQIqiHwmKzaG0IF/9SSJRilFBFdeErgE9h
LbSocZ7WYe6VoJQwxlQ29m7AMKPnb/JA0D6baTOebQcpDYavIB25hDtW2rn+JIGPlnOKBEAKtgEn
hG+sypyMLpTIKIGRtpi2jWgQIkqYxLxwJb2s8imLG96N1jK/yySAokoUBVel2DPMofL6JDO/KRJZ
AYidN4074xRLGXYbl1py6CXkklJF3UxxXBFK0ZYHfGwwZYSK0SUeg9gluxuh4Nhtw7mhMWioHwPU
dJA1s7s82rgwtxvFdbsvZqWF90UW2z6IOA1TieeoE46Ktpp3QVdjTx9LjKeSQE+DQm6HvsJ9ti68
D/7x6S0qm+Yziip4oBlPvbOLhX286ZE+H8sLO4QBpIp0GqBoapr1vaHnj6kC42Sh/4gQTWTPCWW/
95aEksRkiG2Yh7DNmdx4SHiphWIKw875vEqwyaVYtuAXDO7UrlTOV7BnTaJQGUzUeIGjJCZljKtR
bKwohLmSGFUlgaqwsrWPKIyds2aX8Fb61B+go/MDSRKuB0nePXYS0DIkqpWRl3Y1SXwrlyBXIZGu
WsJdw1inT+QVpx95ovlulhDYUK35fijL+pxJRKy+0GKhBMeS1lhvcRcarwuJlaFXgDALa2CzJe3p
7SqKwbQCAXxylta4c4HZOMPwSuxz8r6VTe0kiSyCGzeDM3TXowTc5gvrht5A5WQ0Jqc+zprHIRum
h0TicUZGrrIyg8xVEp5rR6u/6k0Oa8E8QFiqF84OHW5xa0r4rl7nadevauSrqetsWwnpmRLXQ1a8
fACZAeFzlUMpob4eug8WviRmFsUsiX1oh2AAdVjAxVQXuZnd1KipvmJzpW8MiQ6qEiIszRqcUOvG
HUY5FOJjdfZXiR3WFwCxmRIQ8IXKRimmu7Qym3MskUU2RMZdKDHGQQKNZqiNd9yQ8Gau6oFwTsBH
nNGQa0oYspJY5HQBJC+sZCGxyVoClDx23hZlwoXezuqvhmL1u9UpYC7nELvt2ZoFij6QTPtCZxIm
YXkpSQ/4Ipv6CziRBAsk0rlIuNOF8sQ9ajzFYXFL0ds96xIF5SiOON508aW+kKKqhEaBidST22fu
mRqrfodimZqHhqb+uqpgSF3Y0/xCoWoSSEW+SBsIMWXhhVM/H5JMi451lULPOmz/uBnlacBMFNk3
U42EXhXKSEe9EdqDBd2nU+BSQq9rLBJ7L8zsdOFnB4nSdhKqzSw7mDm5HllL3AArOv1TKiHcXOK4
jUiSR61Nu/vI7u2zLnk1ZWiAtvCpat51ABbn2bTX0yhR31pCvyyf032O9OQC2tjXpcSDlwspnElo
uCzN6ahExQgup43nsW+No47D99ZJmub9ZJrd7WxiGLuIcd0ZyRxDAw31R8sdqi8O0V4vOJDhcYXU
jEKOG32dcNIicHR1N2Ffb6fKwVFt7kyfvl7vKZX003KVTqFEwxFso3a0LevC0XLyKyaDALxVSY95
LJr3IbrzgBg4/JXMIgk90+I4XwqtofQ/Nh+cqLSsgLZA8cWIIgfv0zk8DVroXI0OiXL5vLaH2HX2
7pDpqNl01jdOaX1+7oXq3qRO0WFJuoBlOl11RMLVn8IeIV4qMmoFuY0r7FgOHwicQkFXuyMHGaGg
a+6Mabiro865XhV3+aYaQw7MMiQs1y73+CqfeuUxjk3rY5NUTD1U7snc61BXyUm7hjeiD4Uazqlu
7Kw0zolKUu5QjogInHzRZHHI2dl4umLo0k2J4SFUbLxCiyuPMqLzOVPXeqsmxmcxdNVJiUrzwYmi
bqOps3Et2+5Mg4t+uzSr6kVhCUZndscmN7Td2qNsXsrER/WnnwanT2E4Obe0cVndVpFuvLOdfsS6
Tcm3TVOZO8VKyxqFPf19i8URLSSH3cqoD8j2ujvbjMRzH5OJsdH6Gj+saXQfNDOt6WZ1+CTGLXKj
MI0FOHctbrOwoaGko+K7y6PS3pFcU3mTalw7YTvx2AuhnkjYPfXCIq0DPX+gJUrzLR6wS8era3L3
xBvbe+wRKAzmHfBZuHS39ZrXtziVNfs01vX9bJglVVlyKiZ6j+su1Fr7A3sB/XGm+Un0G4jHiwPN
+7GoHHNLferJbHI7UFL3zkC4RrB5pfbsOyan2+tMedEm7dP4ONWtghOf3lGxEFYbsmg363NStwXx
XEk4HXXIbBOV0dVCbApDU3TbIsWUH8Qo22oJi/WA0x7Zkk5rp77RrFCqGLIMZxIsGr9r2vel2hY3
4zQKyg2rKnasd1BcgszfvFeWrZJo9l6vcueGcKeZVcFOPrJBszpPSalhNUu4H+o09KI4c/WNrbVY
B5p5pHmM7Px2qmoylltEpYRZcEwPyhELyUzJpnurxaxhwgzyYKlLedNnzcR7Ylgtg8O1v7LxjQNB
JhURo0wrjq2zmZ7ZqaL609XpYcT78Z1K9eSd4MC+hUtcBaXdprmps969WoEciyAywwM+BkOxgVIx
oNArVjDSMMJDMozt6s+RkR7THvUseRlaQohq5FLbafSo+2YUqd1h5Zv1C44IKMcRmo9UYubeaY8m
nUasdTrjJES7nN2m1XwESZHXg38e43JaA4pA0dNqOVepsB4ji17aoCfnMqGvD2x2LDJb+5TYdKPb
BZasCS2XLVlhPVHt1w+LQl1+nGLDl/5aQW2sn9t4+ZLYyh2p17hP4D7gYyaDoXeDI2TV4yesGkQy
U5SB2qv1qyTX0IOmlMFdHT3q4gjP7dzBN3I2NxSCbkbMm06dKT5qnUCeNvbUUDJqNVnmtJC5OTem
mMiLKRaafQYdv8oWJUXKhlYlqTu4MZC7kIw3hLTCircl8bQQpvSPrZJwXlvXqRnONPozrBnXaiFQ
WBQ720FEtiap8XFRdFjgBKuOgrIbzWNsra1YNmCpqZYMv880ngOcr8PHAjHxvlbC5WjqnXqSPK4/
RpPwVqdlmcNfDfWg7WyXrl+9GoU7qqyBkJSqj86lkrOyI0G8MVUuLnVyfJvpj1sN3tSeVVORfnVi
/g+KNbAbOvF9MCcGPAvnw5+PpXEoSK4ZnOSQFsjwNyQEgQ2uDrO0OWTWg1BLTqTspUqWbLrwv/7w
tzUU+eEW4gx8mCSG9tZ1ak3K1lrWOjloc9U+r6SlXxPUHN9g+JLd//qjxN8OwJxnMJ7V5OkX56M3
10kmT2rNaOwPGnkgZcA7suSbcomqb7/+HEn4/FT94pooUIOsYTWMD7Il6wCvzImyallEm9HdH7AL
28ZOK60qKLnmJRXDps2wJBpxRcK/QBSfsXqQcUhrFN8ohDRxuA5jvt3lK/23fvSb+pGG6d4vpW5X
fxe6ff+RP0tHyNkwMCTBHUMyzAl1jTbxDx9DyU+aQqfASftWFpH+fweZSuAPsEtCkYwCSpIGxoMU
J/9NBQkr7Z/Hlupig6jagLSWaSAes97UHJuwd5giZ+uq0GtH8yRRNvmWNi1T4w2dUstUBJ1azbTB
mgPT/6pcNKKzTZVGnb/2VKce8qpRleLYdZbRzoGyzq0AqQ8HCsSDMdKHsMkm4ugXC+i3LYJ36Jlz
r2ZJPLM3tJnFBNxPH237jm7v9UjH8DmLUGkRPAkQoyvE6MWWzRHIdZdt10R+jcj3QXHWlaQ4gOda
6pdJQNpAMKXrTtdadKXlrOWml2LKAQ+EDq7b540zNLcpDORD24Tuxy5fDVbmrhk0r6VPW18xbxN2
hanQE+CUqPiIxVqD2c116eNnq6RBLCSyGFXi3OBMwj6Tfp2vuNX0KSF3+XY1MYJim03dv43Jc09H
fWbWN2I6H32l1LtsLfJDOuTxJ6szmye9M/SK1PfEfa5c5zmfl7ODNpXc+KxYDvwRnkYcXW+ASdU9
ZKsWEF+DLopeG//GcJu7IS3J5FGXRfX7KRop/dWodOmrYTGVixA+ddLMcY/7XkHvZOjeM2EhKMM6
dbdyQLxzO305kkXQtJhO6LOChlhJ9pRIkq+MB/MuzcbRCKjaKTdxAe81mxYOKtWsXU84ED3Gq51w
VhzYxK7C9sY5Yq8siKc4CXPUPyhV3gnKFLpxUwlYP7fOK68gGfWAOd56lffmMvrJQAdE08shwFCI
sCslnLfGZKx7zqozMYpgs5+Upag5FOXKDgXEehCxjtax0O1DTN/2AVFheB6UprquFKhaUheU5WYe
VmvUtO08il7HyOjHf/eZLsb4pJh6XQ/0Zy7YbwOYKyFgkjmn8lggXsor3/7OCeutcu8oGqIftiM5
coAAokFTn/87o/4nAC37g19OqP63/PP0uWXJ/M7jHr7+7/98/5kfTA52/yyNhupApuL2L8GbP2dU
2wTXsaFrZPCwyqbkrwkVPJZ9CbwO5XOgnQtU+2OCJVlAIPNVsZrVHWns/68mWJdZ++fFG/CdKrlQ
sbqRyuY3E2yWQinAgDX7hWrsU5/2Ze1bNSfZzYzzsDfbbdFv62a5zSt9nbw8BnNQSR9Bi0Yc/JiU
UCDGqj2FyUDQYonPmEe41fRt7i1F9ttTlGNIYbHvuC0dRSFTLf8kFByxDKxntmXkYvthqFGA4TSz
ATcx2YdQEg9pTwt6Rjt3zlMT4YgzQHLYRI4IL0yL9mhp7M2Gina7YiPI57TZbCCN26u5oZZtFThe
KLOZ7nhTsZIyWqs+AMmGB+i7/h7JvTgy6X5K7UZ5SvBsfYyYLzeCTsUOnUtE+CHwSo1X/M0607aj
2nQ3OtFXU8m4yJAr1fArpfuWbV2X3KoF4xNC9Mp+p0bZS02Zj/qF25PipwIzmTW1fr2h5tGsfDrT
yJ1lzOomsftTX9GaH3Ta/prziOP4CTAT4G4uH6DwteuZtiySwHJEejfJP4rraimuMd97CoueHbzW
z/hxR59AXrBQIrtYymOzJfvUmNAYePk9zKmy4g0BsEA/IaaWUA/bgSw4L0lQ/dkuB+AwCG0iQLPQ
kl+h2Vgmv9ptZmNnr7Z6Y2SKQlxrhhF15+bvK/Cq99psQClIFgdA1dhaiNeQ3rIcx1g3dGt9S1DU
ug+FcuzF0nyuBMql2iUuCYscHD2MOg8mwIxbUpT3obMSh2f2zc0yxu2TyJxHq0uqXTXjI0S9DTVP
mNkBhh3a3m0sJ2hz5x1rttIgWp3eRSJE9lAgawcakNEHbjg8Kyqp957dqMZdr+fGuUhIXUV3F1Oo
qeJmDfK4fDAkv8jJqI19yh33Xd67284JSVQwYnKIeHM2aTImfpyT3DYWc+Pu2sZAuBbVmkbLfqk2
qWayeDqjVZ11bR6uYDn7YTu1ivnOFlNyJQpL/SS4cL8jsMErklRPfJN7WW016OQWwfuiXk1Yt/WH
CuXlxjTTfnlRSnNVwJerKnxZXHs65XpLHFNUAo/k6LnaDS14DoGp9vDfif4/meilgQIHm/+79bpF
X5R8/fx6ov/zZ360XdU/+BUqFsaQlFJE9EokYf8Bj2nJhqSOTuhiBfHDJQKBkcoRDdNo1VB1Gvp/
7aUxDjfZRYNkqlhaS3XFv5nq/9aNxRRbsN9Fq0RdTr2c4l6d0iKi9VaHsi8k/oA4DZkxhWoqM+61
GGQX0jY5i2Itn5Q+tYvfkQram3WGvjZ2F5x4TdBsZN7izTpD1VCsyWh3O4GKH5jMzbfkqvZbMfWJ
AwC1igM6QDdo1epbXk32fdan0y4y1fFUrCupAVkV/qYQIJUwr9e+79/JRp+NUs/lxrw5IUdCUTiD
Gt2ujIbyoLZm4KqcJFYsBM4hmnQvtiln5wSLejn92ZuhTsi1gJnxqQ6wASvzbznc+jnDL3Ndp08I
c3Uau339sJRDsqn7xNybUTwdyyU/o/MvvFcD8B8qGf98AVTpkb6wUWCf8PPJmxqmWyzOxE2Nl/uo
JTFtmET0DjPX3KsbyonU7VV2tFa/Z8ddHImp/ezgdte1litP66E3O+1I9lTl3lWrXT06hMasZlge
8Vxzt1MdLXCYqeIbaZ9v26Spf3MFmnzsr8iZ74/g1RXI2sKrUTn1OV+4WtgEoNE4SoOeY08FEVEA
J4akVTcGzDmhz+rBqFiyZEvzN6PA+MdRAM3CRsjRkTjJOsqrr4DJlZjIH+92CBEo8A6kv3xhn3Rr
iw5pmqt+rfJx/kB1M37uWg8br8hLwfoRRmAlPEbdVlfJkGgtglCnRJtIztMHHFD5QI4jYKoijbRv
S6lpuza0H2zoQVNNyRVR3A+1gw++NprqtWJq+X6tqs+gqHSD+KBIYEBbE3Nt/uaevzlSy1tuMeWw
iySgUUUJ+fP1squ0M2z8ul2T5h/KEMAgzX1lxRwCus/4Xon5KY7gNRnFHvbt86XcZTK9EQjp2Oqb
2lCXZxxaEffv6qh8cRMHSzKNfYkgwfk3n/Rmfvt+WSDqeFMJMCz7zctMgNJQ26HJSGqjx0wzog9p
Lj1Y8WqzUKVkuISoluIcQ4ua7K/fw58N7M3vHy2oPVBVZAF4K90k1I/AOjCD3WAvH6lY3M52c49Y
5SW3+y/Mq9ZviohvK27fP9BEeqrpzOocBH5+hO6odHOSMGSZ68v7wWjP+hIa/lKyO6d3/o3s3scq
yWc/WmonGAQM59hFLWYz628u/R8HE9JZysUIPv9G9CdDP5rxyPs7YejrqzXMBnbI8QYHwMgz4/Tl
13f6TU3z+4VLaYOL9ogUtTcP2aLfLxMJechLCwRca6G3Dk78G8/4f7y/+NMLRhK3l0rxz/c37bSI
KIm62xkmpXZnnGN/LFMXmhtbnKkjtzKi/+IrC56hE3Z2XoqXQzCPytW6ojH69TW/jSC7XDS1Ly5X
FqzF26dNJBE7ZppA+COK+Etts7eEk476my7RzGIzWZVledXAL6AbBtS9Ga0GESOqX0KMCgyCMzjs
ZTqNsQHSqfc9BSUz+m2gwj+86jLNhJOs3GL87QWsAb772kEPh3lTe4cnl7WtFszf0lbGzf618fqH
dY8j898mFRl3IQiLsKmjvxn+E3I4pP8ZjwfQKIgjm/jgdj0t4xJ5UaEptBiKchfbvQ66Nai/mWj+
4TrB5SlzM8nQUbt49b9aLyiWJYtZWs3OmsN2OwhirEWHUW8fmsm//yjkPMLmbrKrxHL753GYYPRa
N63dAHiExYswFvtuLeMC+gfbvq+/vqn/MInx+BzUlaZuI6d9M+YpokZpNfD4Eo7jPtWz+oHUS/Kz
1I7MyrkQmHHEy2+mj3+4l1SLLVdAlWoo/t68z1Gklr0bm81u0aXWwqT3lKSF7rcqQpRfXx9a5L8P
G3YaKoVIRPZIGd4MGycT1RCtGg9OtIQoWDi/tF4Si2n1MRwq6TS3ne5bE8yC1xjjpGybvh3mAHGj
UWAIZTKUEiNa3UOIpPq9jtVW7Ldl5gw+Ud0WNhphE3/GIUU5ZbR/OtQYOWRhB/dF0YBLMlD6EOHq
u6M5advJUI3lypQJWAnh7WtQIX9MafHF2qM16Ct2+WI2EapqxWwFGHbF+pM7kcP3zUp1QeekplYf
X81xi6dtm2Rt/K7LK2055CXudrs40QoRKGqtHYt1npVdhxV0dzYLeoMn0Q9LeGd1Wl7KXqEyEfXe
dhkqFeFmpV9mo4jo6JbS7sQ0qnSLADV/GBWqDMe2VKq91mYYaS5Rq7e0OpP3BdV1jOqhsNID3iIR
GpOhwgl0yUgxCIp6KdvrdIRJghJy6ynfdd0Et0gk+zL71biE6hVa6lC90RwcP/26MOXmKkGL/tnG
owpzgLCfaSdCWT/UdPGxYOq7dLmdQnt8KBPR9sGiNK59r1YF8bWErEXDgU3svG2c2U1g8iOCC5B4
rqvXdamLEJglKsjDsutRKOi0kZvOdN6lcUN7Ni8qnGEFPlmbtK5NBAXDndYm22E06w8hyQZPueKo
932JEjssyM9RZLae0bg3Qy4lu912Rh9zH9ruBqiN0JAVh1xYOdSablZso2E8GoQTIXnpPqeZhQR1
QE05pLOxxWAc33BlCkay7vkOrb2z8KoKXJFYO+GuFYoh2ss48kZXHYYlX+we51gB+rkp7fHz2ljk
rhnzuhnnZWMm+XtVtZAOW82t6RZtoJHOdotpw+rh4KNdOUUen4yJ58FpAUN4nKjn1TB3pqLdJQnS
VQi68BASVuDNaTawqaDIkrNG+V1nr3c4jh6ansTrZF1M/shuMq1BdCPaYzbPur+qWRPMPV3WNA5H
Dz+5AiPW2Kem4twi9L4vlBgGbXLiLcoEfKOonfihjup3Zet6H0Z5/QlhCd2S2Ear1SM5ntW+fbGU
htA0knp9Z8jyHVUu89DmBM3bBGceDDXRD92CY2g7j0eqMtvErLVtZi5PhTo0T/ht721TkACyPJlz
WAaT6uKGM4RPBeF4LW9g4RzGwQayUJrQR8T3iO9GeOxCI/GtqHJQDwkwIgp0G5EizY05N9wnrTLe
NlHr3HcD5lqT0V33S2hL2gj7L6X81oFP7B2jT/ZJVxT7snDGF9HR1Jd2vCMCkhGD7oWMzaYkZ2HD
TlNmMtF86UlVdQgh0hk8HwoqwrNv45qasZQzSRDwOH2kwJidm4lRli7ItJxMO5BGugRK1VfU5lYH
lreqgpkXIgi/x2c638M0QXDtrqHRFQqCNtdObz8qGua/aYTZjwLoUu8ghavn2V6zem9kOKv6BagK
qQiVZpNHQGsMdth22miTL6OpHMMqUbtNWDXJvm25U/+PvTNZjhvJtu2vXHtzpKFvBm8SiJ5kBBns
OYGJooi+cTjgaL7+LagyX5akupm37rgmaWUlKRCBxnH8nL3XBgtXFWsUewriazbefufdR2WVp4ch
c9uNE6TiZAwmguJUDTPh5TUCjVTq764eUU8GOBxAKujFVcOr72sn/djFfBPXYTY4qUWTWDK1V3n0
GZBsSN5qRRDs6ru3c5788ZFmRvnZNi0S2KmUxltFT3vNFo1s5QqENurbYS0TOe066qUHHwbbq5J8
zqQV46buTHFc8q/CdKxIfLEt+WwiL6DbK5OZpmjPnYCKW7wksS++ioYk83zUxIsnzHSfwUMpDiAt
82066fIZtMnE/hAM5xqmQNmte4hYxaowNQeJMpry2HUZClLuHXrU62tvGaOzKw3abc6+qdyXTc3f
79JYPYloiOeN79A3XgXx4v+odRvPWUn/CSJhUiz3oDYcITYm99BlYDl4bW+ikOsa7Qn3DD/Ra/Ig
uYrNma/q5uqJeWA/3MRRFJ9TH70rearzTY3D8tpObD6VOMmdrafuvepMB1j05IkjISDJORtk8wYm
xNwMqnbOccujuqnqct4i0c6R+o2LtAQCwLkoGuWFjQMHkYdI8FBxdRn+imMOx+bsYU98b5fUFXtG
JSZTznea5eAMJ2xffsJJ1Vp7utK4Ne8ap23enWWHGVbu3JDMKbIUI5eT7uHb8bEaeVpGa4tjg5X2
ekb5+N5NTfuiEs7r7Hnia23EDA7mHrEaYvMyOsZ0IxgBQGoOBumc7VkQAqXqID6PjDkbqu2ynD4A
ctg0vBt0iUAy4KVF07XBa7lZD+SDhGjehaBZmyD+BJMc4XWrdeOhMSZCYp06emzcJD65yMXf3Bhf
arcwvVamNkfGSsEd/HB6/G1x5wtCgPVoHWu9Qo/OjyeRZ3z0Ubq9VXGU7r9baRtdi889jXF4ASR1
pKT2+vbZtkRxaPMIsnUX0MRZpzneTUjy/AX8cgs/cCi6dTbTE1zNPOe0sSr5DKhw+vQ9AjG82HbC
KJqKg9F2y11OQA6xPpnp3Kdlop5Ad/deiIoTTyfSnYvftVgSssS914IZnmRTDcmZOJbKAPNVtS+F
AN/tu7J/0hHgXsgvsM8mZL9rByPjRdiKA+Xo2ZAn6CbRLGD4bMlZ87NkutVjbfrUZ7j32rj4H6zW
jy4mLrEDMUH4Lq2BT6zn/EIhPT4Gui0/5kExfZjBHiUbrUymTw9HRBWifYZ5Qb9FtjAONCJsXa1G
y0WOLylaqeZGFzthg7FqeimmQ6mUm/DbuZNmTbQsva7NncaalZxJ6KzJojfm+lazMr1dqangWuvS
T9SBTB4kRIBeP2vmXoAq9DILRTmITwS2xpMdAx6HtmJ8w6jdI780R3HHajF/1mbWkFtkkuWFIcTp
v5l+PztcM0ZjWtNwWlze5HKnD7nRrpgtgq01C+0SdMQrpp5LbG7ji7suqhr81mZz6tTUvI5AF++M
zo/PETH3uy7AzYkhzTqwjgG6R31mHSot7p4xpiyKf82XrPF1vlBHp5qT51veDXviaNuQtsEiBu+N
vmln9cCfLP+NJJPuFMFT2amiUHsb1eZB8Nq8tnDvEvTqxemta8tm2+Bxf2wJWlotPrkurvm/ZNM0
60g11rsTxM7Wbsg8aEh3WZvWyIxKWe7O4HytdOjHawAZPIedVU4Xo2zH2+/Y88qGzW4WsQ0Cs75H
63oD7hD/r66n7GVaUgX6IDsB9T/qfaIQzjUth83dsz6UxinxiCJxLUJ9RsLibkas/edqcqJ7NzLr
QzCmfcyiW86AD4NuJZjOHpy0O6ppKtYpz+YN4O72GvzuIr+rphWlPiVgYA4rWqhfAicRh9wjfyIH
z/qhCvuIJBDV7eTzHyJBNpVrYOrt7KtxzOxn6m0dsfpYvwdDd66DutsmdJYPAgfEGOJ3pcLL6ukZ
pV580RFYbL2x2bt1IdYB9qp4lWKk94f5C/2/8hV0+gwLvWZrRSZ4zELPDif00GwlYZbn8pBrurVS
kaaf89LG89r3zlViLDG300DkgJ/r2LYyed8LzWWpC+JLLzlI70Teba8zrKQxDbfWgzsfpIH75IJQ
2qep9zQCLdvRLk2oAynlVuUyL6vTIblJfRo3tWEeIqaz74keDVvla/quwyG79lP0iIPiYZRN0q2G
nFZhPE3uFcWF/ZzZzq5yxnrL48QCXGfsTmOATqjxg+BT5b35PDa2cQrKYCY7pbQfGsCh4UgNu3VY
u65QTxRPhuN5d5PiKjlKjgRmUhfC8G/jDX6H5hs49sIM8YGkJ5FxG0DXjFPmyRXE6QYgzcouM4lh
JmuJCQaqOzMu7cER4YeJsy8ZDN8jQo09itmCzGBbY2YLuHnWzecu1cotj+I2hY9MoebgwYCAcCpt
J3okE4gyw1ZgDz0dEAbREBcENzPeYsu/kuTOQGVKNolTIHq1WudcNg4BXckQwKOqivkwTbW6cR0U
5dRoWs4DR2R8E4/ZucisBHZFNhc8d23FtrQg9xzbcT2omyDqspfStN0dqK+KV84SAiXmhkZDn2rk
u0SWuJ5oZi/kAJWC6m0xIQTglS8Owd1t5o37SHWhIr3r5ntep6wGj1W/Rl3PgAf2g+wgySGzdmW2
N0YteAlwZ7PP+dLWVU+emjOHosGcnRHBCX1AdcbLiKrwUJveuzG736K2Fm9UrMVbIcuaRQvSpVc4
GlahPt50Xl/eTS4VSzEhb14xb53DeIywhpf6uFdmqdKjZtWDvVaeLtGK5waqgMp267M2xEsS2OTV
Z5oq+KdJboprxgAFi1CNav2tLOEzmcIv70D/QLZKJxbQLBm6j0Ka+nsls+RDRIjvQ5OYgbNoHMZV
bVbfo7v1h5eWiofrlrLJIT2v4C0Bw/xQNKR8zQFZtbwt6dzNhYE3EXs1WVFRaj5QH7MzzcvEPsb5
KD/KnMA02UuaCHLqy8+c0BW0xXMXvekyM0itb3nT1zaBOBK7wxuIYDbhdpQCNWvmSH6Q0K2VUCZU
wCQ9d6r7QowsDDIZh3rrxZ2qt3Yw0NGA+sftkWC0wkdXFfV94va5Q41ZR2+4Tfk3QTOS0+JlQe6s
bVIMCDazpi5fK8m33GRoVwjaZFTqsYkZOWiW2pW8SpGfsW/UK2Uk4dCgoN9SvPLJs4Ys+WAPND/X
iR1M2g4vJCUAYS38JDZTwXWW6Ha1dgFq9cTmuFwl8lo9eMdjH72pViWMxnuyTTGsO2Ro9z1H7YWF
y3SwreDtHyfTUcivVnhmDXgFcgk69QzyzlbsJ+qdFThxaAmSG0J6QZx6y7Cre8dIzWpXpBntHuwn
KRvMfMz3jUEX6GwKYiu2nTM7V1Pb1ffOkEG1AEqOsnCIxJIJ7jn0Q9pGz7MrWapc7coJ1tsNYAf1
qVw6s0g/nCa5cfHmPeSTMsHFV9VzaQTeXe4FAoxJ4+sPYCTktAc/YERnu+dH702l8x2pyvnWaRVx
8fAjVhrzvxp9OdeEZ5fefzKt6ctwFpXW8fdnfAofKbsXwkoHKuJJKvktzWSGmalvCefoAwQKO7SP
5hgWYL6od7mc876i/3ccUqktCv2Ois5J7CY7EIhBE6VltgInQ6QOmsLKZsPNS5j3V1j2OpHrFSCe
MjTJXSzOiSKZUiwlZAHAvEMDaCaPRqabG1HU+tGVJJwMZQ+JJfZHvPx5+jTPyfBIqI76m7b6r63H
hXnE+AvTK6JsIhh+GPsJwSVU89jthp6MTG+C0MbFLiCrp+X+r1uP//JQAQMLQlGJ4P25jdtajAeM
0ul2iGBIpzGNARwNlGvLN8T63z8Uw30m7ZiuXYzDP/6q2RjzZrJtSMbjSDVjzWLddl0edqPXH/76
UL924W24UDpRrxYyhV9ChRc/Ql44nMCA0CtKX/MOuJ77OeJ7iKsoCz1CIqkNF2Sbbtd/c/WWbvSP
c+Pl4LT/F10F7cyffmcH0j6ymq7b4aEinDUbE2zAtvibQdCvF84xUUpAZrVdc4lq/vFsSvoJUomo
37V0sFvUEsvC4IzCU5usKbmr//qM/tqCd4BZLNJpWFs6Rv0fD+cIZVqJ0fU7kEqELuXtN4Ygn35c
l6h9yis3guP610f89TQ6ponsmJklvIBf1H88YNngW3W/Q3nkoOkL0A3oQb3566Msp+nHi8VRbDLH
GZmARlmAA/88YQeabCxZ1z0eQTWtLE27hhlxngwcKKNeOn/zm/7VWfzno/100VxbJwnPKfqdrwaD
PhSplgqGX8PiDPOI+h1Hwvtf/8CfktiXCfAyNvcXkTqgVCT1P/7CKcldbPs8dkbisvWu7eIp1nsU
efUMQ7omnqgXQCMnn3ArtqYuJr8jZcK+j9t6p/pAbej00IMcvObrOFraYXJtGKX42u5nmt+8M2Ks
8WL+m4XJ+BfX39JBxSMFwJ/1yx3ny9iFbs5jlA69Td2kDTlxAqOjNjibEShK2rmNT/6axdnbmODh
3zAgE7yG4erkgeYP4yYOaNpb8d88C86//Gqsz8sTjsHk59xucgbdfHaKbjd2ycaMEmeNaJ3tj+92
G0T28nFMrSzUBxfAZw0K/ThWWXstI16zyDURGir08LktMxxwFToSo4nWUeXDxzHj6SruTYbmvNIP
M9CcNex38lg8kmQZ+QRP/ZBqT53yozCwUoE7TvO2lmUuovaWeTr9yS5vJVrwgqC5yAlIdmHPZOeP
Pe7AU26TrjxZc75tEblCeFo2cd68F2BaqYcpfEdM8tdwA/RnDbvbLqtQGEX0XfLJunR+l+MRjqHg
u0l35pOr7V/frb8+IGwrkKrx1NuB6/08BxslKCdnWC66TE5a3idh6usHoJEP/RzRM+hL499+JDmi
w2LtkFG0rDc/Ph4BfXg/mPMOBUx0wM22KUDVBpV93VoVjrjAffnrX/jruu0jXPUBmYAyQYz3k9hM
xoFiB9d3dMML8i0R+BzY6GBWxVmw/utD/Xqb+g7DeUZt+F4sbBc//rS4R2ZLz5O3oK+cq1oTxqEe
CB/7XxwF/wllCqFwnMMfj1JCBi87BpMYb1v6TMILtH0vYv/2rw9jLIKxH1dqfg2pTz76RQakP0sN
8lSjeG3QBo2jUa/R7WRbdyQdmMKMiUQkPUoKbnzds+Jj6z+3ZryrCbL+x7L0H/vW39i3AsPiTv3/
Soj1l+7L77aC05fy2//9PzTk6G197f6r/vwvePd9+Z6inPjTePCPf/+H8QAnlo7dALcWqydKIR6S
P4wH3m8Gs5kAZwHy0sV78KfzwMe/hVEJDAmVCE8sf/Sn8wCWjLW8xt3lKeaP/g040M8aG0LRdAce
PxRwKgLXWn75PxcFEyWBwXRR3+e4aMr4s4i18zhFh4wBeUXzpEz1oySbATH3C33hVWbJv3l0F8Dq
P9/t378CzC7kk/xmE0nRj1+hdly38X1gHXU76afIfpmC5lqqfFMxo83BeeudWFxBMd3hIrppAATv
PNNmYGi+2hAn5wTMnxbf6LO2Smt/2zFFbjzjJJIlst5RKyBra40GGLjurzZDQRDbC8p4peVvGYTI
5X9SrEPEnh7lXO/SUq6ktpmcYE9zHX4jkfbXgA/pKM56R5tea6VlrfWc4ZRVPU1+TkygYbEx9Fcl
8eq2afFio/OSZvOd3cmF+g+p09egWWcg3ToLKEx+TebGHer3fjNW0I+0oLtzg1fD0jYyBjVOZ2WD
rHwx94cI7cISZLeeJLz1irUaS0yx+WXUoodMDO0ml+WG0NQ3PBP6Li3621h6V5lRvc8xb8YsD4XL
bNmd+Rq8cJiUVNXXcrR1MNU+PUN9+FrZMVMv2CiVHBwQrg3+YsnB5m2aW+e4ZJry/ZH5z+LyN4sL
5lydl9N/v7rsvtVt/OOC8vu/+VPgvviEAupFk6AM2+J5+X1F8Z3fXEp7WjqUa8vWkz/6Q+DOuvPH
CqL/xrvLRshOtYkS3Px3FhDWnp8f38VNxYfpSIdQLbk/bSsCs6588uSLveXHr0OejKtO0n9CHPpS
ae59SzxNtcz7/dJ4oZVtbHsPfyaSgG7RBjDNMQ8WsX4HuSgHgEg5B4AgxY61oFlDcSCySgXt5xSx
oa0T9AdE1yPUXTQJSIn1i/Zdp7AoFnDsM68A9bONAD9t+ti74Izyb4c5xW4D4aEa0oFP65dRoRAb
qZlkOS0qCcQMoVDleZKmg14cJUWGpKJdtBUONvl17Q1eaExD/2CmAdkYixojWXQZNgIN0AzOTnbx
M/DzdGUuKg5v0XN0i7IjWzQe+qL2MFzJkH1RgDDC2dhIQnqkIf2iEZkWtUiJbKSGcE5xq4Z1u2hK
0kVdki86E2tRnDSFoDW8qFDaRY8yLMqUwWY6jtfoo1tUK/aiX0kXJQvN7C8mk4NFnnGkQ1hucd4M
jBnRJsxkDm9QZ8G+Qh1TIpPpkMswXT9Hi34Gi+S4byy0GKNXG5dg0dl0i+KGEmtbBsMdZqfyklPA
XKeF3/arDCVzzkCvuGkbKx42pq/oLlUif+mZFN4h0IbYK7UutIDtgxuIVXsvLC26B3DokAs90cvU
SqfdA3wSdJua9NTWxfASBbTJ6DkET2MJBWlV1z0D+xq1Q6LImJUDJGCBTvzOGwb6WwXIJmb4ytl3
lt+8emlGZzLzVPFU5RX04wKFl05u78muvnd6jSUiOdab9hqRgL9uUsvg5AVmbzBnZG4szabCnRaR
2TDXenUU2sx0QviVBwSjyAfyt4D6Q9klXH5C6LY1By9780z6yusxgh6FADN6ykxat74VlZuxTOt7
EiGNk+USEW0vnT/GHNlb0+CmhQLk0apMCe4FTEIaZIfA5HZyANz3MOOrFVijcYNBmes3lMQud0tQ
u8NOft0K3/6Cw6p4mpA3vLc9Ub6aZfVZGFPI7Nnb8ncSNd5yAjXctxMhzpQFxgMaAfZrHR+JVn7q
13oVT7cm3Lcnp4f9vHek4seLKZ4uRJLyHcuacHnMKfWV5K2dh9bEdSD2kw/EAJeIDek2IA5gP0H/
KJvXhOdvl7roKtnNMumMxlS6S+5C8dQYVXqaYGJ/YNVVO6O3mm/OyBwx6uvm/P2bZTRa/K3ql9Dp
wjS9u3hOGA07reOGVpT4dySgI4nQuvKzWBr0lVP1DzKzB7JvJrS46fLDvw8oUap2j95Y8heJ4DAP
jmIRWdNxmTZ6AE8rG+zs7fudhsmRo83sXPqVMTGnSschID0nqM9DQ1j2iqY82hYG60+06c3noVr0
a11pe3cEpdmHegmrN+jlr9uWaZQZ9569bxQXte+hgsBh5qqZ8HS3xVB2H52XgDrRa/eMiX+6EpFh
XiI9IyZBaOUm4Y4krS1worfARB9B6FuCrCAa+SDlc0RvIoS6iBPtvp7ZwM4u0w7S3oJdjYVu8/1q
ESJf36fxJP1Q5lHVhQYb6rCmvAMgbDvXhlioJgCqE4Woio/vB+S7XjFy18/8B+3fq4/UIzRFnYYy
m0+ySk4KJyq8lQclmNEop36rUpQMJbkEgX9jdj3z3Pg2IT5kVXTJvszaT2cIrgKLSVTHJKQyvcso
LaZGyY7gkae4le7a0Uf/Gp4dC13kUNJoUJ2mOvTNqr50vMf6lbm0yIzUcC90vR+lkS0J1qzhueGz
N/IaMk88NrJpOZ3SMVgPY7aWUX20Ki+6NTptPBujmW39OkalN/husnPrHFR2oOzNBB175aHy3SuF
mbLzc5Gstdb4qGKCSYT5TVSqvhJQBK6yuZebyiyNAx2Tr63R7Sss8ChCijBXvcU8Io5etdh8kZr/
derpGs6VLLeFgsNUThU9ndKa1gxMGR+aramotNz6vrdsO8SnO3+UyqFNj+5yUVdvm268r7K+OUJd
YwDcJaHjzFzg1MW0LvpolQ1TjmHMeHQnhjUMKw75OJUHnXyrPTRGEO9+31Bj5gSuByTsxdCptLp+
FXqPUrSqdVCWundsufHZp7v62lHRq26UIgSnveqN6dOamkuT+t631ET7YA9Cf/MQa6yNPH/o2Jt+
Ic3Q2vCsy1UK/SckhA3hGQKnIyFYtlipeWY9sFSxj7PZYmjh6yBpUBUE0b0o5UcyddFmibk/IaId
6MdDKOjCqjNhFFZz228A/YADNdwTvvr8jtuKHFQ3Mm4tkjrZBPQVO5dey/Y5eL01lAgFp91svsGd
yzfwyw9TWecrq2m+9Lin18KXwToz1IsegUbXa972ATMk9vT9V7rsryKxdvokosfBaGiTWrlaOeha
wtpGUdza5MrRyAKyh+c5S6v4xc94D1fSWneIx68Hn0EoRYL/YXuOunjM1h5zbKXUENjMUZK603Ho
IopsZUb+iIMhe8w8cldtaZffJAbgb+gkiKRpS2/JGoiQ5WqMol172OaSfxuXRNDPnX7yoqy+I/Aa
e0kiqKws1C1D0/qnRjXDW6VPxdtgGtbJJSo3dKiwVq2bzuuCp4iVvEtRDSWVIwAPlX6wcscsvoZ3
mRtHaUbGuErkTKBDIPqtH4tS55GInzp31M6u0fphbiGU4SISSQqhUduoPOuvPae1uWMq0NS1cBoy
JeeB1+DY16eaKIqjjb4bXp5TkpYgoqcAj94FXUGabWYpAG12QaWduth3DlQK+c7Qa7FJxyIKcSfX
9iZpx88KHP3ZKOPucWjTYU+4pHh2RYccl7VwzSyJmaY3QEGzG9KZvfmQl1RhqIe0o16zgDWGKfY1
/qQQrFGGxm+K0DsaPl+rQP5uF++eZJck22g4566m37QRlKbCqtudMLH19EMehdQMNyNqbIyLOzA6
zD/9+TVr27pZZ5VCuDyIFkt4bqzSBIwm4DTi2Nrc3s0gcMcUmizpM7wGehzbTiHV7ZxT4+Wqlry5
lH+GqlLci0wO6FRz7dWCjkgIhvw2ANNdCXfqtkHjxtu+iJaoK7CBbZuma9LbeMTpjy7atQtv0Ppc
eSNSsaCfVlIfnCerGXfjMMZrac33k2t5pzE1yXTw/WyHM25HUjNZu0a7qVUdfxMjoOCOV54SdbFR
acZOVR/HIwAwGfaZjA5kEVynsbjYkQM9MPIzuHPueBVluBaRtGkJqFHkPJcgZ3U1rrwe6v0yskkK
A8hJOWTxneVmAjt4LwdAbnKwFYhCTYt5JcRCZ8oZ6PHEgHgopvEwUv/O1w6lSh5mcZk7m0lmaj36
jYm8o4dqCB1Y9X29Lt0Uzw0p5AkMR4J4FXgRK6rNPW/DZ2aod5oeqG1ZBcuoH+Jn5M3zxphmeYoz
p4an4Ng3DJRfxGylm7lxL2lQawRXd1ADUKuuCxJqz8JrnHc51hOYy2p+N6TR3QwlAUypob61IP42
g2OqG18paw2Awj6SsMokxEnkLQN+85pBu7jElCq01ZHaQDJ7Y2oZrQQw+i9DF0+o4FqbxA7yNEst
hdab6TrZm7IKlUrHEP5pwqtyoafCwNnpfvAQaKBuyZS/mi0KbcbBH54JrsCGy3lyjTwsavtrQvID
Wqw0OE7xTI5WZixFf8zo/F1HJPLh5U52PQyVpI6X9t4i4fBApse9znxEXwlqGQ2NdJcfwCQCOp9n
e7q2UV3fNUU5PxetXtzIpPzKBjQuN7UJmJOewzKbryJAu1XyVZQlb31NlB+eIkxrBSKm2/ZVqrat
obevlC/uxkRxdukiMoypgS5WmjlngiEWiCIQgaNuB2RSTzNPGojUJ7cf+ivRkIEwF8pndjB1xTkH
ROzgVLCSd4wAeryKsnTcLpTGnPfgkubC1rCmDigC/4PmEwuHih3jgsbMfybtBaa0VdJASRDfIsuy
bI0l3wuqsNeH6qFaZNyENvmkOSPtJgeSeDZjPqSL7LtZBOCgVvNTShvoFQQ1wQDfleIO+VmICTOS
p00OfhYxRUn2XVVeLQJzpuSL2BwYxXftOdXzIkUf/yFMJ+C7X7VCqs9kEa57i4S9RTC6H1G154u8
XS5Cd9RU13kLya+JEcG7pa5u40UYTxozCqZFLD8vsnlnEdCTlEWe1yKq54s9svGL1l6Q1FstQ3pf
fFfh/6fr8z/BGtCoWTqv/33X5yYlV0rWiwXvz0by7//qj75P8BvDdqAFzkIpYH5KT/j3vk/g/cZc
HGwMlmLrd9T8H+mPwW8WPSIeN9QBTJiXUNXf+0C29RstZvIg6XcvVADv3wIboMxaxh//NLbQ2aIy
NWctgzdv0Jz6qZdsQbYsO5RIVxXxxInoQ0Bj2nqkINinnTE2m9y2eFUTh4Lsc9QsckndprO+jbAI
5KqEyofad5I39J/ZcK0Ej/wzchUbzAk6NXKDpPEe+2b8WMJgDtPYdZ4VIguopGBt5iEgdzutM/Kq
60TzbmKWfUpql0SLnZYl+Z4XfnXlZSMc6tG5K9rOetcGO5qudKRa/grtQXetMhBPj1Ye9d61nAWI
1r5wB54mG83TRzZPqJVNyeK7iJ8CUKrzJIf1TGW2tlrdAlVg9a+IdQbaYD3iSSxoKSJmQTXXLDok
5z6OwJeFFruafNMUUfpI+x2RejJUc9immXIPtosp1ENpd+/S0DlIr0t25ph9FCKYNgD12YbpUAWR
55nmDo7Jw5Rb+S2Z8VG2569YN5OXReW6G62UWA+ra1dUrdamM7QvEE1J5NIBVi7dLY28GPIFBWZu
Njmopdcz9ZSzmW1NXgy9cG7Udzg1AnPj0AP/rK+6OYie5tL37puFONl2k+kfsFdYGjuaximuQHlJ
EXptlL2ooUXybZleCDHZ4xw0aiV6Nq9uUBdXXeNxLvtyoGfmYjlb5dM0XHU99V+oxU2y8VJ3vkCe
J7Zkh7m33ecGgK4OKBmOm2E/ZQMBfR7cgAR9nWBfN0URDfvSfGlmC3/HLLX5gejsAutLTOm0tzXd
L57SFiHUY0xQgqfT+reRxm3gHwRS7sw+wx5ySGKnKldlVlC7fwGX2i4KsoI3t1OwqZY2W+HGPsFn
GCiI8C0BJDUOqZovRBWS8JLYbATzmixTWhUL0lmAf3cXwUOPaWZVzEvWKHuTYYMxnrRC6hdk9t5D
Pjpr8NOHuG9vnMln/40Lx0vrky1mKHtODrMDZwRM4i3JNvJR05K7EX/lilTveBujoVqVano19GHe
el4abSM13etFJg+iZXAwuyK7FqWmHxoHdwwmSfMYaBXiRmkwj9DwPJb2mB4RttVbbOTplVZM80EX
PJqmW5iPwWS+VR14VGHEHk6yTgvtLlPbuvK67gjqMzvIdHhvscYcSWaIr4TrEYAzl/Qr4dbX7Ptx
yvVbG4VmnmtinZZaRfKVBhgcY0gCGTf5RmflxRvpggZR3cCE02lVQbVkU2n7w5pKNr5GdlxhkZsa
yAnzPUpeqgJKePZTThTabWbc8u2zq8yZtHYVjV1zYPLUf2uKZlr7CaB4j4dtTyGzzmkZsMeau30t
xKEaHNqSxYVU5uvZiHZB2+uUdvNDCum81iU5mfFwIWXpULGpXPs6aTYZZz92E7zp9qMUYudP401m
amSxOv24bZuCfKhoJhg+sp8WYftqqEq5NkqIJTYDZLMa4FkXSX+fatWNLwwjDDoiwkTnsAimGEQX
8W9WjuOK8s6gaDDtO5Tz1aYcF6xSoAburUYaROcl7s6UJbThJOj3flt8BdyXroSpB0eX5fLY409F
8WBlJ4rzbN9TGa15Kow7do93KpMbzedHzXV1Gn07+0IhZ4V5H3lMrzKpXTWNaV9SU7jHuqEJwQVD
uT82wasnkhddkxCvzPEz6UpjH3uyDyWx6ytwVFPoaFFw7KfU2kANC+46C3wxlWdwyDPvErnt3YB9
fMsygTsu02i04wfonllX+rWJe0CtGqvLTpnZK1QhzN51LtSWrWF/wj2fXKxxDG7aUb/Mrdat7ax8
lTGKpizoz9NY4gJlgDdmDdLeSl6kW7G6sKeJej3bZlZu8fVq+0tipwR/Jrwd0HqOuYEXOOseCjBq
W5OW3f2QDzdwrtpwNLrsEcT1oxMHhJBq6oucgxc3Ng9m77jcx32zLYuC7bM5bOWActrNdvAmI86i
sGFTxWIHYvpr5UzOxiF8Ya935kMToYQG51iDOEsKdeWIQT8lhnXpmYQWMnmC7o3xsAAqiLSYjdJi
qgre6EDKECJNmC9raaP5t760djLNxsvIpaMEVLEIWUb9t5wIqZcCBt66tTweNY2mn+mpG29SGyVy
ImDNDhG+MK9alxmlUA2CmyiokzCfCh8ZYz8fkrrbd012VGmU77oCkmwcaA1AaG3Ly6wI5yjwVv4A
eh8BdG9/xVeGhgaipX+CR27fJSV15+y14qZAz05OnKo3TebAUhhdO2QTeD2mgnfCUDwaNjTKqEah
S+uIyjXYmG13D+DihHqn/KrIZQ786SUj4Xij+D3umNd5CMQvvVKThVOqNLYAMHzyAmmXAdy3C7o4
kWiw+iXGlZM68ZamFfviPrZeo7qnPtYNZgxg6fDr+DkrkyJV7TbWFCEhdQuHrOO91qSMxKfaydaG
YcDN65v+2kRmGaam2QCy1zF1Wdpjog3L63mI17UbrIgfOw26Zz5ppA2c9bhR4xr4sY2XYZqz/lJl
GhlOMp+Po7Ie7VFv3smm1WIIfFWfbx0PE+vKKoyhXdk2+J0971nyDrvga4nX1UiIjezYuV2kU93S
j9ZCkWt35ZT053xMn2VrgUcYXRD6s/vMlq54GNP8SGZstzH4eWuzKsQby6u9H4zp/9F2Xr11I1G2
/kUcsJgJDObh5CAd6VjB4YWQbJk5FYvx19+P7r4D61hXuh5gHroBo90qMVXYe61vBU/JRAGgtwOJ
YVIz1klJjdaZbfWeVyHKTi0utum++iDt1zjctOuw69NHmHI9h+/G++kQao1bneqPHZnZU+m5453b
41lJW++rmaLtyr3cfXTBAK60wNGXhhsl90WIOGzo9WZLHTWn6jaUqwGAZ7/hgRG0NpjppvYgeCc+
vx714pzu+I9Kps+jrrmffL/oPiMSpZzfRqdMRxE/dizZblKJfOnFEpfNVFGdqnSZHZtpIlqTgjx7
hCK85ky5UykCWc12Z92VX37ycqq4TLdReyYLzdtNnNU/a5O/K8lzuAfiYm0ELhtCTKc0vgK496NO
ve/MzoD56ZVSiwnaB7gRsGJNf1v56J1sPEHroHJYILDnrJRBKGCE7hUHdZkYp4LkmGVp2PUVtAn6
HaoZryDg+ru+FLjdovp7BlNj2Q5ZLG6rqhN3TJAN2LzWpF7lqD7Ktrjrm42VWymLV6MVcGd9lAjO
aG8y9oKPei/NcUmn1oPWiDjuLudw/VxktvNscTDHaqJCMiGieqGJjA1Dyz035p7HRK+PDXB3cNtZ
YtHqs63ghqIPoLNlj9wYQyPyv5ydB8ClGKUF4n2R99FRIoPYEEIT3vkaG1HCAzKssUX3KP1p7xj9
jzJwnG1dudMqVxU92yB09kFRGotpQM/HIrnlqR3sZC7SxhjNs5Iz+2C13zq6tJTJsUIWFcwdO4NL
JoOa9S8td5FFLMIYkP4OrZjGtDKsRSST7lDo/TqQ5imJEvMhRky8zSrI83GUl0dq6zneeP9unCKq
9bX8RNPM2uriGRIvG6YkwFSRBw9YVfNFVhurQLPMlRPhmWtsCSw/AcrgjMUakPFuKnjvsMU1tBcM
sSzJglrGVrfysqFmOontBXoh6tQzZX9Ko28EPV05bPA3usctzv3qYSiLco2QlwDtGLs+nheK1l6+
4qiCa0hpGF5DF0sLiv19WVqf/D63tkTcfM+K9qGssLhqznRWNIHYLtvjZuhpjchKrXD0RVTDbXmt
IQjcyIkEqqxHTqaIkX+gHYhLwMBSNYyaBVcRMDJtG1KugW4uyCwsr9J8eiCrY9gQmuEvY3wyhBCI
lcCbTq4TbzkJ34hKQIQ5gxc8uCK7qqPWOkn8QMu2Ln6y+SWtN2rWIpnwTWnU6rBb3QxRA4AAvdWD
tJIY7EYbbmqr8NeWxWbHqD0bA3+SXachk8vY09P2dbs+OV7wrDcyXPnp4Gwj0k3O9UgZzm8cscTn
wa5HVP6NXiWnYhjbk6HTLijrHvOJTBeRpY8nI/EPsHv15eRAnHC7rqOR4vZXdOp/lJw3MqF9Nbzp
KaycrSualhgilmEjwVKN3Svw0g4dg7bNop+aV9M4dFAo0BipdnUqb+vYPBZDxPQY0Rxpu1jfVBXH
286QJgXWbmuUtljg7TvOMlz2CfpBT70H242Iy42nJywD34M2fIbjwftTmudWXbuYl8tuIhId8dA3
XNhUpq1sT+8Sw5XpXk2+9wXK4Er6Pln0LI4LI0QqHARUSrVCF1eWVZ3RnI9LrUmo7bdTEy8IxtBP
aVD2bM+029apOw/n0zCxJFAnXxisBDWQjirajJ7X7CVv8LdRRi/m3As3g37EgW9g50WTMANG7fxr
ViZ5uY5BoJxYsqhxD6WZscErpbsyIlmce2WoXafRStBxvhNzAPhhWRlSj5ZlqqqvBqAVyumdzSGn
qh/61sv2XYetl111uvfdqNhaCFg31TiFx15vnY2kBzzKKcTq7d+QMZ/cFrEmftpx0x6nKHYOlenJ
nZGRZg22dtzY6D/urQKTqyeNJ87wyXVaWBzwQ/1mmkJ4o00ZXpmDay5bxH3XAsPAGgv1sDXLwVsl
HaelzrUAs0K7WUkcmQHqqm1XmNYqHDQOVTU2LhSF8MjbUcOipd9Qc/aIVEjMtRFlAQ0V5ezcbHz2
8tZfwKt+csOMO8am9rpos2Ink3Fvy25CmN6dRF6yrWgiJGGp/40+fkxHyzVXCWbwhVYRr2Kxr5x5
gWy4/X7Z8u2EMJJ4XUlSswxMiWowliXKgw3FzWzPvnHv5kWyzIgp3TBd2Wtm85FHbxdrImXw2FU3
HKa8T4AVrS1HYSou5gCeIfV9dtKWTgq4Fc3aMk4Lp7Hxj0VTkEyZJtbKCFx70ab5Uus4fuA1rY/u
2OgLJ8ziXZNaM1MdtG6qGv2IT1MRr2b+rKf2evSx6M1nC6gIJ6QawXqYwvw2kTxGggAXaFpIk80y
FC49udTEmSu4A552pJV/Gxu5gUMqvw4d97H0ENKyv4aIMjcKmmHYFELfhj31DtjinGXsaNy0Kdog
zWuNRRyrl6mszk6prseKVrEkW2kKTdKSa85ZMMDIy8lJA1fgaoOMco3ZLPVoYFa29WAXlZnE2VfZ
bFpo1/GlLlt05gu9VcyRtpArNoDPnZsQUmLvAXXdDqokpqoZjRVHyCNT9CPUjAIxz7DmqMWbLMgk
VF2DjVnE+mkSrbHFdEwZZWLRtZSJtU2QhEZiEz2aqUOYUddYpDnoTMXn2tIom/R9TyJgJu6ZOz8Z
KDq4IpKcU6fn5OX1yxCs7UrhK5sm2ItUBFYiiPtDhKAV52zxTMHbPyehxoP07G3d0x13sDU94Ge5
dSe6PUMljJXZ6BvV2BgOpUycJRtlbeXQmaNN4Sb3eRC9eKI+NZNxTD3nCfvNpsqelMCerLyfEn88
x9x4xEI0Jcsm91d1UixFgnoTdcPPSkk6GGg2o1qL1rWFT5MIrWVqlHT/Jo9ayZT44aooqAVEApAD
s9a3pExuZcQEvWxa6QzYaiz3Jm8746Cxp68WQ5gBk+84lCNpkPwlVvIKpD4CmQpDeDMUchUpkJK1
c6zoYUndXjoJ+kt4Glm7oYoTHliy7AW6HbdmhR7r9korJ7m1GiMjBBzI1T7O6uAW0bsO5b8R0s7Z
Gtf4awd25Opew6RPGBF52uNGEvgjl6aIKLU5nBFGpg+jjTeJ5Ysapyz3yKbpJ8MWZ99VS6TwM7go
N1UkO5Nagxjrf6Vej2ZxlkY3/znLP7+zuWCei9R/vf4jmaX/qkNnRfWrP6x/1dDP7YscP700bcb/
+g/acv6b/7//8d/C+Uf6S5TY76q7r5/i4uX3Krz45//4twrvoOc2HZuP2gBUSvEcMef/1XPDEPbw
FsLUg0eHnfG/xZeW+x/W7OzxQMj9S4v/rQiPGcOFooikU7dIbPobNeastfytAk8SMVt6nZ8zo3Qd
mgT899+geKOPHkCN2kSLez36a3u89pKb3/oSt//8sHdQogyBFAnlKJYOfmX7l5fptyGCvs0QtxCG
TlOMt94DdoiB3uGW/nf3438wynyhv40iAx/7U8QobvGt0b6Vw4v6CMD65716fSG0U34fgsqqVZQd
Q7TT2dXPI+vo9Pz+Vcw/4tXj8Ay0bSgUrZmUabgXQzgDKX0d6YG73vLQwWg+LuGqPOc5dMYIFM/7
o/1xQb9G+9XNASnxh4vMHXCB2tCFKFCE9kLHX7SIcxd5aFhlH2j23xpKGCbmHihVNv751/dOb5xq
MAbBhUVeeA8tgw4G7tprHTz9P1PQ/xNde2GTsmDLASyCa2rNzSq0xq+HwpmOksVkqIKt3VWaqXRH
5j0pmcNEqlo45Nuyo1f+97cSbQyFYSBqWC0uBrVjhHgalLXdmHIXwUmQkis9ZLUa/3p/qEv59Hx9
uDjmfgMtPcxFr68vNbVqqipN7qjYsEXKAoRMWo2WIjX0gR6+rG+rET1Omk3RNabz4YPx5ynh8h01
aCviQfM8GsyXU0ZoVZGehs2O1L1hTX10jmLpH96/yPkiLgcxjbnNqM9T5KVxCheTGhUaxh3RBGLr
9hFdn9A1g1NmYGufRmNYIC+A8yVzuXl/6LfeH8zJVFLg9M4um9f317etQYSGKXdJn47ryrQVShON
HZWr6Vm9MMOIY2WEAu39YcHGzy/J64vGwWVxsejxyQq5tE42mVYlIXWEna0V8nvpOhQfYr031m7P
rGMHaUbRkY6OnlFAYevUbtBE8giSQWwJOe23xBfKRyNCM7eMJ6IPpXLPho0+cIWat7/y0XNtykDq
K1NxkBddACJFN+Z4aCQkdAWp87iJC/PAgfXlldW33EOhxNltDaCy27Uc8m2/jqA4EOy7SjWQCFmF
5i2t23LhIJ89OrJN9pGeuUfqEs5XLXeBDkT2GF3rYGiOWZiNy4nq/5rQ6u6oQqDAi3RQcOZI0r0C
YzA9xBhOVhHUTLTY9XfHyN1DEKNh87SaMAZ3IojHaK6s1FAPQzFa5z5oxVZr3WxdmjLZW/ksIm2F
tWlS5lAQO+La09N8nZi0MpmEuk+mS04daRXqih3guMbra4wLasXiGnM6SyG7wmVYttE5SLr+u6/y
8UywcdvAER54DbqE8eLppS+c4EtUAVVZ5X42PTg9PuNVP4kXKQfIc3ZjqZ9abQ0REMZMPfrGzBIZ
kNedu07nB8032LbEdTnaMBVyBNBLam/OKq8CdZU5gQmgcRbFBHbhVkt+P3JWiYKiw5xopyS0XlRD
xaUf1dxoHh6syXjxC98mbBm6hNVq8ReFxmmPNpFbIiM+pKK3XiaSSP1FhLBjl9TMGElW8RDsYFKP
rc7Py0GwLRP2iIfct5vHeH71KUK5R2ia0XWV98HatKXYIsGKzuiSyBwtTMhaoPo20AD1bWkYU7pg
wQmXPnK5tUdSRrLESxQebNAqu9mqOPfJHE4dCRyH3Et3iZ10d2k5tXeqgkEwSb/hxfBi2u4h9CE9
C9KDx9yLgYKsyw5f2I3nczvp+SPCzyXsUYNt00nBcUv2ieHknBQIdWLLHMMsorwqPuFnD89jGOt3
CWVyIER9bN9wxEm2EUDbrbBk8Mzp08QWbGjByeh9jmJp5LrtwhIFtoUgsG7gLuIBwei/5HhpHaDS
1Ve15gqYVhPwMHR2t4FmQm2tIvPWRXh41Vv2Y5DXlNbcqOmXmLT1XRvVDmAoibWqpUI7LEktC57V
gNMEymoJxURrtW05Rt5PK0m9n1oYqGWjNf1RYp59jnxdrMO2trB7wSVYa42iDkvWF/cj0FNnBR+F
7n/DnWy6IQO1XOk79GYjRFTfuMrC0LrXh3RaB6CsOgazxdZzC7mluNF/8Yyg+1YEdnTW81rfddA1
HEilQ7xES9CZdH2F912kjTqgPMtPOFJIWkKASe0BT/kgJvM+89WYLprGI/0a7Naxx7t9a3bptAkr
6d0msSyexsjuz3IEfDPQGz4NTe1cURIcr4Ey28cUedZWEIazrEbl3FWj6a3QNuHGJl25W9o6GT4c
dOfJK8Nvf5ZYNArsdgTOgIdzcJ2j1t90Qa//hMCq8kWUldFdTR7bD3tymp2AxU5cat7gbRb2asCv
RFGoaraqRDG7aiqScdlQWusWOiMRwM4EW6esI5htOXLVEHE2p7Igoh3rEydnuMV04LcN7w1RTocR
Be8RbNW4zOyAxljiFICh7Dzx9x6HhU2ZJM4KwZu/txu/3KAGo7MFK28rQafkXIDJO+EhZ9lwQFBr
fZRyr6GU4zJqb9wEUaCt3QCgG5hnCuRdAImQWhkbHKOAT1SwCXjua6WYxrr0jIrP20YJSeGKWeBb
HPtAizvX3Skj6V5cvSDlCBHt0ShEse0B0JPqA6rwCVeWeFZu0UAyABbyk5TT7HFshv7GJ8Xp8Ouv
G4Vj0xfg0DoOIUWUie7TTT8lw03jEcXcecRMrnmHJ+6uImpeIMwgsJYhSShN2To0EGLa0SDJxMyU
/pxS2fnsUlReAajnr1oSgyMB6+N1gY1zadCr/WQVQ/A1saLysYvzfGbiFVu6dgEBpEJnrdbzJZpz
f6kPbXpwyvYJ16zagwnBeBm2ib3yglSfl3fKHKPsThD4uH0FBeu1pEtz7aRDdy20ubkxinLYoUQY
jYVXCQondGFCig5dfkgaoC0A2hycZEAIJ6Qzc/NdH5xp5+OpuhNDo39RTTedY4sIwgWZ2PHSrryC
/YyDOYZeBMP+wjsOE8pIIelYlyRb3Vex0/dwy3j0HqS1q9I15b7NzOiHL4BBplni3OXSsY+BKP1t
6DTNivYT0ek1+80tB1F6cZWWPva0nLZFUTt3fu1oa9uS/tJTqtiGKa0oxHzTrvFFs9AS2BC942pr
aKX+svQbc4E0Zbg15Wg9Ie3P1kXFC+4EVnpAx0Jmsm6pNTrl4gVhbbs3Gr25pw0/PfIihbdOBNlS
Ja2PEyHvlo7V0B+XVUEwkul8UZxFKUTHRnCV9TiIqNwU/tYIIJaBvKEloOndS1cE2gMaKIIClErE
ytOcf59TqgaylXR+2cEy+41uVeIEMJkosCBlkjHT8ZBAu11r9hB/LdrGO/tlN2w0vbU/m+1ofe7k
zKOzq/HESuVsqKxoqzGOtZVWWdHODWgjT6EmP5VEE9JGJplRS83h9OuuKxw1FFM978ZI9Y1eECfj
EzJ9tGUpqCATU1i0xK2VvIibwS71IxXJYl34idrnozLXVU1PbpC6xUfs+uOhNcbsJvBEuBegLuH9
zO/y5Inp7GsWzX1KDcfJi4eT2xTBOs9ceCKW6mq0RUV6o9dJvgcg5Xzxg6DbqkC37IUXsxjqk8Xj
n+rpOm3QkGPa8Zdh75ukCI9pxBQoxKdIi59lOg4nJoVxb1RBcePKaVrFpQ03cWyq8RGYoW3jqehR
3CO027iCUNjMp8bZpm5CwFgEuso0UkRAuX1EYAW3ld4tLbNqQO/csHRTcldbl8xq8BlT7qYrQ8iA
5rCI/DVrU7f3ZTiB44YxeY2sqhDLwi3Ke2AdxaZlwmEPVLjNUViGQv6KAUO28OZAtBMcgOHiQL7z
XJIU2rio00K7b3S9JPsh79gxW/TBs45pQw8bPk1lUzmmcUE33utqc9YmF1slCmDbLa9TDm/tYPqx
eNZDa7y2MDqurL7Xn0ffM8jVi0lW16yG3mXDh0mGg3GYhn46k6HrHpzeGteeGuXeG42OVOuxq2r6
ck6HvbUrmelwfExnHWkNPnIzQwUe8Id7NA8hrcog6q5apSXLgL96m5i47Il1qYNdIxJrG+vmhME+
cLY9CLv5igDuUpPH6RWdxBQb6Ovj/M4YUqT4Hrn0UxVpW872SPlMGxkWEF6agEZR35mdSZwwwIhj
GHS3bTW6aC9qTBCJ9uLV5IyCT/titrTCM5DUV1wGceV6ycxph43ceJ7s12UWGtsgiDu0UIE6ouaX
4N1q3V2zQ4wO1WTnSwX81agIhE8bJ//uFtr3ZrJvBgMTlzEQtsO+rd57kYsDaYrv+zJCzOghYWC2
orhLbJuYyXFhwPEOb8wXrSC8g5RSSrcxVpCV14fhzFIku8RT2r6wK+AkLhVfurtoN8Cz4Wn1quJ6
qAAAFGB40g6HpRNneFlK4IPklCbRt7DF/ZkOIsNT2w4doO2pvKsQdtJQD/UajakRHaPEqW5JSKy+
aCGKD1Z1JENa1X6HiOzcuUJawypD67Bvu3E6zIbfrYVEa4edwQaSH9bWreXJ6TYJHSD4YZyuuxxL
83IYZL5yJsdZQ7YOsMVE0RZLc7JBX0M1Ts/iQ0h9mPagqp99OeVHQVN8N0Hv8gGjliHCqI1HXTk9
NsUz23vxdeA4fi38VulLadjluasT2rEGPtjbYBrLvRrxtOKzwMELgX1l5Dli9dTXaBpIyVPEh2o/
Q6ej2dlF03hjoV46FzaK9Zasg68OUGMiT8lQPI2er0gnjNxDihbgcwD5DydC0ZqP+rxCOiKnNh95
0W4oivYYxZ5FvHijPhfKtHcD7Hvgw2F3JOAk/a6AwGKUFDzcslXBbedW+Y+8cXXEuMJ6ahpym/hE
KvcgSFm9kooTuKNxwF6MXUFHKG6IeoVBbz3g3MvXaWDDkoxp+51KbXxJO9f7YoAKRusxecswzKaN
3WR4ebCdLtjjTSyFUR61i1Yb8AuPkpksyZJdQlDEosKWzuNltT2MnCpwlJsTbRVvFTbVtGri/J7I
9y8D0WMLiN1qQc0WDoY/cigW1WcQcuYqdTKqF/QRgFKgCEUb6Dvk/KR5eaWmzNhLGbCVWof5GISw
G9LKa7Wd2fRavuO45Ggv2BNmU4S096J1vEesECRNVq235RQz02FjEKSmpq5YFLNbtorJ0yDM8iGp
0/pL1VaDu600e8RcBNww3WL0CWg/pGxpsMIWZ1gfwJSbMh6+pdIxOiihPZoto30Je6+HF+sRZ0lw
2tFkZ/u9qHT6NIHbrBwtPU0l7cxFY2rZVqVuvex5VFcpdjLgqnWlThQCw1PCZmiRWAhL155n19cI
IINlIxMD/av7QxUkWLWsaf6idQ1sd4GaDn7ZtLepTpHBCrPocZCNycJFULGA9X1uKrN8pgz2zcIB
9A105t3UGo21cR06dFrRi21ST8zslWYiymqzO5AqvVpGERINWwdEihq72ThRq2+mDt+uzRu/07zS
2kYEQl8ZqTMyuciWHODc52yaGOEz8rsGy7he4u3TQixug3vPUYf1JPTzb0HuEtMZ+p+tweqPZHcY
W34K1sGhVndWbP1wMb5jUlbjc4iGd9OlvYem1xyTa9+f+m0nXe4YGSNbmr8DOTE+N8UM3M9uF1n3
cVfKTdLGfLCSBiqS0G45ohDe2Jq9VWZk3HIGeWRCTm+GanIOdY0kVPXKQS9eBE+ln07LTPYeZULU
nLR2J7yiGqcYQ7K7HYiMxlXYF5+KqQnZ4aIFy3O1V96Yn+GQOrcuevmVkzjGSUSd+VOERYEhGOOl
bGPC3wqEY2hsoysS9+w7nLZ+ES7HKdDar0lB9HNE4g9ZgMm6A0RPuPegn4OgdXZZT1RfqdJyC9E3
u1PMuLM8oVr7fqdvZdbeh4CtgArozsGc8e6ql9+wU7m7BOXvsmcjeGAi1Xa56XdXbOXcQ2/l4akJ
65T9b1n8bJEbowtR1bNZJ9VXUNdtzRGgjtLnUiec7iiqNjh6fZCsqJYQxxE2xn2LHBeZA21t/xRn
MqT1jSZ0WJjY9exNXVBGXnqR9E/FKLP7IoeknNujT3BLM7fs/fzeMRosCphv9ImtiqxNgBFT/x17
Z35A1pAv2VRxSKqB6mH6S/Z57Is1x4kdfInkwPdvf3Fz5zEP2RtbQRnu2BVmoMu9740Rt6tSH7EU
Jqyv0DF2KPWeXI4gQ4LVTeooJLKZYkCZSGs98d3ys/5olcj5nZp0Cj0t5E0YiF2H+eFnRIzWra1r
xrkZ/J/1YGmPIZ/eA955olXthiyIBRCwYNXgxkQHYpdb3R/atRHXUF0JuFp4CPJP7xdC/6yC4gYh
ksyZm1MGlJ/X9Vez8UE2xNRfXYLuDiLvHhyfc3/ocLr1XQr57w/3VmeCFEksxCgWEcwYr4cjRkAX
BLIzXKPs+9qot5wAhnUduPoH7ZZfdpbX9V2uzAecxDYcFpN+WVmepn+L2s7U9t+bX0X6MWh/DIoi
vdZk4pq6kr51vEl/ioL5RNlTj3v/ct+q3puQoOgjmwaCm8vugWuqqQ91eBDkBJzttqSkRwLGB6O8
dVN5hHMNW6fxeYkztYYAPW9OD+ZXOwShG/VIfxwWwko+ill764IsxOyzZwke1NxE/b0rl+LoA9/f
01nCBLsyeqIZvPLb39+038e46O7ENlHvfK1kPhrqekIEaAGVfn+IN18O3j/Bw+H1cP94OfzE66UB
foP8BV6EVjcOgHKolnd9/CXSaLVAFEAKJKm1Qk3R9+Rzf9Ta+fPTM3Xdpo7K90ew6mUDwrKr1tRK
QsVDMceVlAogskjrK5jjUAIqv1i9f9F/PjvGA2jmM5kawr389vB76N5YmfUuh/NytJzx7EbC/WA+
+fNdJJ/Xw+RGfQfT2yXj0w/xU4I6rrGUAbdqKkzdZdVd4euK/3oqwT1DQhioJPGLcfv6VfSbmDyl
0St3TG3YRbXmSPLbfSWTx/dv2xuPSbgWhFueFTOXNXewfut1O1WemjhSy90UY5XJnjQPuWVaLOM6
OLw/kvFns5FL+m2oi+mCg6oT5A5DtUSPAA23wkXeY99ZDBin13VXTA+jTWPapggqV7VFiU+XdfCV
WGRtrSZDoYB1C4wmnKVzaVIFy60pPdheUh0UevE9qqrpOsjYDFp1QaJ6SMmYzZVaZ4ZK1AEaz3Dq
y5Yy1tg62ZKzNhZcsAQfXKh1QVCka0wrk+K+zgcwR0hezM1A4zUyOVvuaROpz35e6CfReZ/AwsRP
+TTbYTLwGzILvsohDTduivYI+ejecfJ1jAx8KWrU7kb7AIUcAhUWH2J0PlW9dw3AZQKEQ6JWk/YU
HWI0m4FMsN2HPbnvsjPcg5Zo7XKAP7ujwdWvlPIMfF6Ev3COd69SCy1Dkvo4TZivV6QGLSc3xBNA
d9Hnbhkam0fI6M9u0BcfLFpvvGskswoUHKxZrPsX7xpYVtx+cuS+JFpz1UGw3vPUB8gckPJne1C/
e/+V+7PzC3EA3jamVUM3/cvOb11a+CCqvMSvoaw9RZd8XZNLRFRMpbaBF6qriPrLvRWDunp/5Dcm
CtrauuMYaHH+FF/gwO+0qHWKHWfd8Uvn9OJbTdH3nkTM5OX9od64SLq8zEYcePjnsodOc4RN59gW
u7yTlEY7QSWfcjAYiqSQe2D2ZGs3dNnGRW9QuXt/8Deuk32VCft0BsnSbH49fbhpiL6yLIodrJsY
aV5xHw4h/d4Er+rfjgR3ju8J1bnuQo+bX67fJioOgk1YiiTbGZ73eRwJ7DI8ABMyM82/fk3ZbiCY
QhiFDOMPIHbVgKoKAbXRXIT5NTlUX8zkpu9tB0KW8+PvLwt3z0zTE7SSLpcteFeE4WSI9umtm2T7
jEBW+5HCboPp+KP8yz8/QEsHHcvCRdI5Q17sT2saxAQ55FyZZt1Hpva5nrwfsNvuw975YA8yf8uv
96cMhT7H4dKY8y8psrkZxWOh0Y01K1IRKZj4hBIs3Awh8VR0yBZxRbx/J98ekcwyZGzzR3e5vFiV
62H3Sne16A6pXz2Vo7g3ZQpHiMgNsGrG35HhmeYtnY23+WvXwYgXb6TdcO5QmOd2WtsexjnwyEpv
Ykf/YJg/NzbzMGhkgM+z+7gkwsNTIeeZH41U3dDuNSBTezxr2vr9u/fnLMIo6MdnJCMcY+/iQ8Zt
BTs7ERjVTY61HPeWWdL+dAvnnNSKrpo3AVwrP5glL5np/9xCJg4XNDQEAedi1CCflI/+Jd359kgp
LMPwsyyqFFCNT6tuIvcRroSPShafZBotEftiV250d6uGOtxnNJM2PdsikifrT4AbCc+rKjYH87ag
xs90RBvjPPhG7+xCpMEf/PZvPhhigHnjhOdblw+GvmSUUd7MdpSoQJmMfnLQBood7z+YP2dYHgy6
StcXPjbUy282t2qWkbDMdoVyye8ru52einvPVR/tWt74YG3fYW/LPIQ39uJR2G5mFlVdMBENlUk3
O4j2g6MPm/ev5q0ZyGEL4OEWBl9/qRGdEt0Y0A+nKAigsncuy9Rgt9Dcm+y5S6y/30VzZkQmypIB
vgZExetFg/Akp0N1kXJ2DH7M907GzjmXwef3r+qtjwf4BOHv3EEu7OLeDU2Karzk48li27tNR0Gd
PbB/UHEtNzK0ve99RlIKKpbmg6XqrTkPIanFvhon1x+HHuonemRaXboLQ+NGFdrTlISbKnmsMKcz
XX8w2lsvPMcektctTpZ/qAUzrtF1SEzbVWGVbnMI0efeSLTV+zfzV3j25dLBTXRh0wsTmfPFvOq3
xoCNs053Xtvrj3Gkw4RBcQxEB4wbBXq3f8CMVpKSqrobwP4p/h7X3EYewq5prBy6S0m1EmR2rLPe
oynbkqr7wWIj3rzzLidsvkyT7JiLRy6DRgdrlrPaDBa1QlU/CeWXMJkxJ8Wu97nF9r10ycW8ygrs
j2nfNWTolt8i2rrkw6tDhWVuTxUJ+tmIkdmPuI73b+Qb3xqNLbagrgt8hf3h65c/c/kd4oHtNnSP
H9Uk1EavUFQFGU3sERbMe5LpN26H+CU0tGfFKrvu12MZYoQ87Cm29oH4oVNwgCahPxGRXezgFiWk
ezrqgx3GGx+dEJTt2dGwYv2hb+4kWC4ZllxeYn+J4lBbGrTuKWZKkLXGWD/Usq9XtGS73d9fKw5r
QhXZ2Qjzcqa0NB/NkdeUO85qJ+DWBDDK7IwsOSSvJQTJDQTm/RHfepJs2Yi6MQSnX+viSfKt9Kqx
SPTTyDVZjqKjNQlb5dzXPnmwDgfp98d7Y83hAtlDAYBHuHoZb58HWJbjkls7dCESbkv2K70u65WJ
LO5/MhSQekJT2DB6l4to5VqxIkWHNHG/LG7tDESUdJVzjFshPpi+3npHiWTl9SQTaa4Hv35HO3Qx
xURlYNfk7X0blS+2Xd9DdZQLOHJnwCzqrw9HTGCYLgwbXBHFlYvHJgYK7kYzFbvJwBOou/0n2cpV
NeNh339eb0zMaIt1MCdUnrFxzM/zt7NRNfXIQAKOgFlofwbru/Wm+v79IWyTn3ExK78a43JW1hIs
dRZjoOoV4Orj6tDYjf3JaAHdB1kPfzPU+4XdSyzJThI+lL10UQzQsGk9zFO9aJFEFeQXlqBkQPMI
scYDSkykqeRhsqzobPjwTosRBGhQ6cU2b1BocLqF4tGFMK9tD7U2EMBbfGwI9hJ6eJ8mP0dxUYgm
3ZR5I7c6UU2wpdGP3SSZzu6wjIHWprG8iQY32grZjPsMO+OpM6P8ugN1sPNS/z4u02bJHU7hZ1A3
XUSohXYolIBJ9FO1Ji/WRjGY9lelhVO+B0e4ef/2vvVusoq7gvfEpE9x8W46dVMrwguLHVrBp3pQ
Tx6+R7IRNyYe1kCD2fb+eG994ey52exRvkcZfzEepsOiNsORfMo6mmtOp95I970qPti8/lnyg6KN
fWKuZVKm8y+GsYY0Mv8Pe2eyHDeSZdEfaqRhdmAbcwSDU1AURW1glEjBMQ8OwAF8fR8os6qVTLVk
ta9NVVoqqQhicH/+3r3ntmNYHlCS3td10iIcCr422SOTqGum0pCF7M9xW/7myOT8/HPp0nJFOVy/
L8jCumiKWnv0RKpp/iRHYoDgCBv3qN3NfMvgnDMOKFBod9nQbPISpZDRlyzkjT0Q64okKtXG0TF7
Y2cBFVtHqMN44Oo9xg/GWGH6xbMGDuojeqBMzNi/O8un9wJKILZgi5M5tA5mr8FbmpKp1M11vE35
Ppsur98Qflt3aZDP+xpY5w5HF/++mL21VF26FQawjsbxfncrfnbHfYdnjGwqFgpruWQ/rBHksXtE
IA4lzJcXLNSLiZ0IBoDMv3myfrYW/fA57wujoR6KvAohlQRebq5L+g1Ee8rtrx/fn22IIEI5rcKV
s/xg+RI//DJmY9dVgzH/wNApWE+EQXMYf6oyibBWTb8xnf30w5bYHQpf3G3vDxF+y2JU5rwrhvQL
TqLzfiAjFxkYgsou+c3l+9lC4NP2Z7fAsveP4jefJsdPkVLgu27vbSX8NbniT9h637oE85b0f3Ml
rZ89F4JTEgdYvFTi/ZxmVnXO9aVOS8ecFKjZtk7B3OqjTS9+UzmGPLh102FfDp1LQhzkYYpRNsdV
AjMqDrJdCBToUeALQKMdEXz5m+vx06/Hgkgbif5t+H5h1GOkjExS5uimfnPC+KO0h4fcYZj86yfq
p5+DZRW1O+61fxQHajAmWSPKOXASrenmdC/lZOhN1be/2Uh/VrbSnMK9Rugk+VTv3kNHh8i4EWAd
OoTjUqFz0+V9W3mnNLBu86r5UOThbxoVP3uAf/jI9wVrOgMgqjyzOBh63Md99RbC4Ykj/9RWw2/O
HM7Pnl9OpAzJKB85C787F3U6cOt5FAXLjD197mT9TUOcWcPDAfxukeRi1EayLliRt0RUIzg2rEWe
1aL8geDz5NJUeYqgZB96G9ky1hbMBrJrH6ArQ0ko8xy6iwp2o9DBx8Bj1Vz5GP5XhaFGSIhLa7Oy
v5naRtMO0GqsTVzY/Q2exHrbUfIlwaABoUPW7YvJfqhRXrLZE7zx66fpZ1chXJy6tDh4bt8PYPO8
VsSY1lR+9XycYbCuOtN98mrvip4pAdBgPX79gT+7xYs9A8egoNn6/rLXqRVPDcXQIWlCgNh130KH
5PS7cUA+RiDJEab++hN/8iuyry9u4xAjzj9Ol6E/BQUcofyQhfGCx578a2KbZ9CIlXpKW2s+oEP6
8uvP/K7XeFeEor2xuai8ohxt3z1dsQFShbiA4uAXc7iWuvcfXGkNa7KHCd+rcqId7AIwhotk67tO
OVjiHop+7rbAw8K9oTWS2d98qX+O+1xUCXR9llVb/OPsG4/eDDOBN1rNEXo2Bz4TqjRnp6J2IUr5
kFR8D/mUl2/DuJXriZkM8mvX2vz6i3zP0Hx/dfCFI8ewOOa471uFJtIIH7Y6eN4ydRiNLOLmxMnn
ewSWhJBwu8SxS5Ek4rMACwhjd2sZBXNUUhWHO+1oczdNkflJuhTedjebnyiLS6g2PFLYJrIdyh5v
jy73bUKRyZI9bF0/lVsEg+6mBed4kH4jtqPsxSaIr+wqcx4yYldueW1xogCOn59k0Ien3BTPJiTt
3xzMf7KGs2UGeNDFMqF/3zii3ZbmiswNeCbZ+CDx5xKLBYUssQy5+/W1/tlHob5Ea4AbnW3jXQHC
0KlpimVbCivYFXUTLJaesSYRXebx068/6/t9e39fl+6vw+mVbfD98Z8go7zXRcLhYPCiYNUxMMbx
MbvWPqqrYVPCB72yKjO660Zb39i2Ed/bS9KF6+T1vi7N9vj9C/03Put3+AbeUxbef/fF/hHOd3jR
L0nyN37Dnz/yF7/B8tw/cCAzzGEIx+HLt//Nb6CP9YftLm8uIgzWcIdV5i+Ksm0DWLYofuA0uOjF
A0qGvyjKFlF9ZkhmBfZmzo4oOP4jgMPfa5OF2xAwKudr+SbDLTdYnvofy2pyVGcQxvaDUjVws3ou
sGsNFt8TyyUR7LUbt/cSIePXWmT2Bykz40JKw7QvXWOq13kSeOtcIRxfmXQENgYMrA5K49YbBxST
380UcL3teGUMVQJOhxdmoQYRdy/HbNe7tr2F7RmebcMc71Bn6k2SZtBb8edd5hSHURgDhJWW0b+V
szFzTne1e2uQanA7lnnCkE91+iWM6+lFOBKoQiy5bGsZD1ik2qzFApebDc5Ro/7S2zJ9gc073Rk0
7Bkmp9Mz7KZ2TdZfJhh2zd3b0MZwT+vcPcYoaICV+vdEudBRqHJlPy7xWdnv1nCegB/aLN9vgc8S
zl01F894sGw2P9yCgkZIakTKf5hbB0ef07Nz2GPro+gdYaA5Nr6KFYih8K4StX0uqXQShOVB5a2T
zCSGR+JCZrJdHcO5HxCM4Oqwe7d6tZLMeCobT13khADMS9L0uvc6S66+75FkEwX7WFI29MqpbvFm
PHY58nqv1mfQs/YHW9p7IcPXtPGb32zrYEbe/dIuTXTuBAUMDSyCqP/+S9cUknFk1uUDBOXo2Vru
Po1d6xMN2PHOECxgfYprrUh1t3UlMRzUe928U5gar8d+NL/UmcVlCD093sYlvjJdOd5DNPFPDRm4
b5wWravYsPUtmgzr7MQNTaQg+hi7o010OZlTWanxlmW5eUgIntxLozX22eD4m6lqu+1sFjzTTmcO
V+bsvJZ+f0ZfZx26PvIOU9CSCO7CAaTZnm1HD5O9SVzTzkue85qhINxM/TWROH7yztFfa7xyRzHl
7aHtMMxGkmSPeuh3XaLHCy9ldiMGg5cJ4cYhc17NIklpTEStrzZZOntXATbudUJ8S79J8K+sKkFh
Y84tgU8JMVeiLCGw4tNrVl2ZpNdwFpvzFOT204Sp8C3IyWMAc0roEb4v5HnjLKxdKZU6hGOdXOVd
Z15HhHLeBaU1XHtEPnQrGxMP0hk5pweYa2m4nl2sk0bS4czsLC6ovaSHgUE6aG95Nw2cd8WgKeel
wm4SZzHMN/yCJr3J3xw4vL+vWczfQVggMqCjwSyGNuvSt/zhhbFjyAPxIIyL7Ex80YvnzbAU3tKR
6rcVPdtguDw7LYYDLOXzWnW40daunuRrWlfjTe3b0anpzOZJNC6QR5mbe7Q6n8bQzTYMXwt4g/wt
2dAiYEgHrMQ59/5cRfhMzC6et8qjSU7Mj30ZTYJWVmLiV52AJF1DgU3WLFfTboD0sSyoVXYCJtdZ
W6+Db5qYPaDidBzwzWFYv//+2NZpA9hwcam2jWedrbqKvlV5YH4KcBg/hRA6n0pjbm4SlbQQ3mrs
Jhsc08mX0sz2TdWCyepHSKQrp+/9vTvNmdhmgQxuA3r40/aH/e3uzyLkRyDP94PFD7UJlx9SFpnu
AXOmpRRaXu0fLr9uLEViShtd7LaGt98BJ1pNbWM8pHPIb2ClNnFFjTI+pFOCqdSjj1Bfw4+WNKnN
hO0FkgJXxoZSdYKUVb9kg49UKSRbIl7X2Pueyf/ilzEx1x+bhIbcf/4LUL7ztZjhOcwc3z0/Jfj8
1pKxuOQ+p4Qxtcabpo6BP/oREDhVss5EjWa9QIVIK3kx9vpBWb+YkeldWdqPvvHuUeLbU/Xi0Nk7
+3rMTtLGDbBr8iD6kIumiFayjLFC//q7f9+P3118V7iCQZTNKQyO/ruLX7RJO7vau1Q9Hs6VVir6
xtMcBYdWtflH3HzzdTqq8TYXizuxCPgN7LL0j0GdDKdq8RBrFHl0xBdY9OIW7vwi3Ifa7fAxNX15
y8wkOZPjgqUXLoW96pRW3wa2CW5RAv8LItPRnGdc9CTTkwnv6gxL8iAAKaZED4w2yXFd30dPtrRA
ywRGcALObW8jTjG7XDlMq3M5Prd+Oe9bPUSEmEjka9g2g3Vn2+Ob9d1taUNvhqJW29Z2dupw51TZ
Fwsqv5JOCUYlq+tj7jI3KBdzMzXBePf91YtCI35tI0MOW5/wgbueIDJ8lq19IYeGzMGCifI6tBv5
atZq3qWmjJ558oY3N2esMPHtjznJBqc+Kedrl4jfZIUpxCaQrDVXk11kH8x6Ge24jZ9gs0i/OlVR
HZtYjscMsd26XRLWgKXaZzmSC4XGYrxJLYJvfvMgUCRyp//2JDDUomawyFj/Xg6+KxtYq4te0cu+
EG+EXWMyecFW39fmXI9kS0XYMgVO/2QlZxnvKMXqF58jHnmarEn4xUgeMBqxkTk+iSZhKraaCjPJ
1oORcnSL43LXNQRNcOoTmFi1mT+y/HdfbFKT3vpEuMYGbUkhNkpC79+XlGPXQ9l5W8xMKHtGt3Ty
Ve7kUb7LragivmIuIMXHxriZ5locRxf6K7RhAKg0cPO1YSf7xWd+z3F70hvVm/1r47Gt8HzJDfEU
zCatWWGOxCEv8mQpOZf7Coeje1Ij8ZFGRjrlaCfzNnSmJ6uuy41TBQ68gEkWK7Kbyj2NCx7WFLvX
GjyR+IoGq9i0w5Cd6FSZhxkQpUF209zsZ/K3qmsbK0K4rvtMfmQfSD4qgLA51nvtBKsqKdInRX8R
t2fW+PEBsa05rguH1WClQNC8GpxaL8aglwKnHauTGYxsVaqAij4PpIc6Eh0MQZaFya+bseTlleJC
MZ/kn4EysG1P0p6jdQDnwN3ks4XYElnTEac2u85spc4XIE7JtI6BomRXBgZ4yp9wuo9pHaOmihvz
C7151tWuoUkysbKba6OECRB7OjtNPAjkKGoSRQE0I1NA2+x8wqeHfnQy4ZSlJTncKwux+6Wltjx0
BhGxgDnm+ZvtZ8ExANC8haCLQy8gIY+JZzvrLRJcQAHKTwClt0QE6dbgKUwaqkwAiO2mC72MRKA6
MjeJM+ffBGPSrmpy8AaUrdFKZ6Ikgy0rboQo5B0IH71mMyAOSmHluf++ov73ZPu7ky2bCJvH/3+y
Pb6+yOpvB9s/f+JfB1sL/CDAbeZLLopZjrH/d7C1lnwgh6MvddrfuIThHwjkOebAHwPjxhv272Ot
a5FAj5SKY+2ynnEa/k+OtX+aGH5cHZe/AfUXskaHpfMfio3MipreE5F/A4QFm0BUjs1VKSZS0ozA
mjwRs1HhgyCP1gz9/GFOai/8AhfuTVaz9+CKzPHWVuV8QDc3PmXCSK48B64ItJiA5mpd+gHMzhn6
ysZw5qm7GLkdN6S1YiN6NEtAGqtySHKnuAKVofaEfKbpjbBlSKoqJcIuUbI8FtHE4pf2zbqYLEii
NAg3aDS8nUzY/rdEStxngO5J5DA1sAunJqa+t7v95A/NyQ5b/Tpb+We36Ah/DJX5nOtK7M06qT+3
RWbC5S0wGDjqBa4Vr+YYSMALwm7l1TzJ8WDWlbvjRhk3BAJEMN/FsJNmQP21bkNq7BYtU49/bnE7
Y0a0E53eEmVhPw3TeHZ7vJhWMtZrhVrrMqklNBXW9oZsjSeCbMLH0Rsnjuijs6/t8GkcA387mFAL
nKG457zbHNy+tW/aouCkR14xIp4kORdDpRHNyeQ6NPKXsGs8KmgsnV7tZ1cNAOJ9XhkDDFIRHafI
c3ao8PK3Ik8oIBimvC2Fa8PS06L/t5O3vrfbbaiT8RNDcV2u4iQFb1sH8bop8uCzbffZ1hMp7Jug
eiqS4qkx+OiyqWfM53p4jjrD21JoV1s3SwTwFbjFK6HLAS4EWDQLXnZYPIh5dP1VZMr6uDyRj82g
/F0Az3aJ/cizg7B7ZldSiI5vP4hNaRDRh2zB8adNnY+6X/mZFV/czMrupknNt5GW5lqiWzlLxyZu
JjFHj09xKlK0hbt305xyuSDW50H7Kj97RT2d5eQ715D/UozJkb7TbdPuSqXGr90y6VtxmoKFnhn1
N4KH0p41n1ZiIVJ9JsUxOYxeqc5dBL5gNfo6fpV2bqxhs3kHaZHeDd2gFrhdQwk/oRPmjS4nmMot
QOBVWy6ZAo2PATsOVP8RCnGv4TNM9o6YqAZOgSmSjR1LbMvSJjvEKKBUE5sUXg1FAcW4q5GYrAl9
BNWgx3PS8KVE46M1IevqMW4F4UhDZstvFfHeWMDz8CAQ5Z9bz3j1Z89kF5UpmHE64SunNTRwd8jN
a6d26p1IzfCJzOpshUX6CkRJclcEUNQQzZhfoAPkOzux/K9ZE80UiQXRTv5AsA0bFgRwq9OfGHU6
dIsisUESHu16sMTxusz0dFVhruzWAVH0p8DPdL0pKDq3U2/Pd8Jzq+3cEN7n++OCv3bso7Kz9pKb
Hs30XPcfPQleISEFgXSViM1QhDEBSLUzQXkKAyIk4JABmaY5zDkpVGu2wGY1g+PdWvOQ7scuIppL
B/PjMOItHjiT7aQHOkCG4Dnazo2uZVC2d77fAFYO2g90gvxL6PSHtnTmW02oIERucfJ6XmsQbjZA
6Kgg/1P71V1aMEqztAVCLaiD6SFjPHpdqIGGkN2knxPTaujzke/ba4bGwQR77FjSoH8Y08ZeYwBe
OwzhrommJGW30vex27TnCazymsXTvFE9t5skcGTfBSE9g9mEG1gU5nFurFcLy8VNjWLraFuDfSxU
768SC8s9xm7c/dzkfWtHchMlNbr4eoqoyZ3ugRzW6Q0YRb2eDTExkCJzU0xNQQsQzzlnZVuurYRI
KwSS9SYhpYnT5dwRxNCPj9jy3V1T4zr3g8G/Nkdc5yjh9DGMpd5EWUiOSGUyBa81VeqIZ6p1gd4S
QOb5z2yC8wGSqPFmpY1BpIh0mPa4/bc0MojS8pLqApnMWtcIi6hxzJd4LuJtA0l8A+B+2AeDMjg5
Uaw/c6zozm2RXxY3ykmGfrl22ra+svOYuDnc0zsNYOTOtJLwVsnF5UAzat66MY7SwsWXaDsQ4sEW
DpteSPcNrc+w1WL8Sp4EhzXWzHwVZVquQT8ZZ2kAUcWSrp/qEZqTa9XzxQ90uOmcyn/uA8m74fgY
7j0Y+HQSR2Z9vcGCFcMF9xL3c5YPSGxEk9xYeNb2s1lZL7qIXaLY50cSRqGa6ck+eAOGQzD+kfcA
mH/c1OYcHDlYXmbTOlI9cC5oiR/cZubEDS6xzW/AxN3rOoufjBEUTNoXajX5pbxj1AP7F+KN/mjG
fnMKnUacYmRTBJJkUXhg3TTo9Zhnouacyzz3d32cdKsGVdhVzwUDqdj3dCXs4oR1acUrwbEltMqz
P8fyGAbGJZtCHjXdVsHKcRbXcRkHh2T0+10cdPlWOT0EpCA6pyTM7itf9VTiaQDhCCo+rjP3yAsl
d33BeSjuepA5Y95AhYkK6u2W5VtH+kUmJgGBg+lfzYMSXy2R519ayOI3nmrvlVN4D3PgPpqTq27w
7DVkozri2HbGzBhOYJr0xPCo4I2cPL9YohK6o0wFzYssqfbDMmHrZyamq9GI1QlIVr91k9i9qLis
7mbOUxvYRt6wStN7K67tZ0OXkD3ZlWkeWdHwZEGyOuTz4J2LOknB0UCbc1LyEmyTgGL340iEIQCz
It8mJfhYAcnuQxjE9b7vgua2Djr4VKp2dmYTvQVZzBIIbGEfKFwcmnDig6ry+SxdMBe1l8WfBlyv
K6GGalPPebMhinD+5jX5B9hZRHCQ2PWQRXyFzsq6Nd9vWvmpcz2wqm5raX2OFAlPReXKW9p60MDo
vzH9O0+R5T7m4JxODdTOrYvkD36YDHfJmEWf234a9yTPtZ8JMiXlNuxDcHaIwIRG45f76vOSSwSQ
nUynmDTbbGFo5r18MXpv2rSTY65EkAIZCacVZrj8auyuwLi58FCqYrhx8yomlYbQDwYR+WNq+OUD
RVV2VTYBW71ncSBKdAYnu6o6i2FxXN/kzI8LHIpg9s32Wjugi8rRM4DuucXOlHaM3ZhcktZO+0NM
sCxh3jr17xqvHo/E/5HMHqAyndLUW0Ng/Kws1lrAzF6919qab2st0Kx5rXUCFF/uvECPL30QBflK
NXDrIxhLEF3yGC6MPzXuxoME+LXMZP3Zn0gsp8x9KeIw2vBFvoFsbHYpxDWE76UBtk+ZwbpIM+NA
SzDz16LJihSjflZe16OdrZ3M9bd6KGhGGG78GnXwL12IYGxpftutsAiNlyxLb6l7112yyDdtf96Z
TDm3s46sE5S/GPko1aZklHAg7cr8xnTWW3XYr1Z9pysyr7p4ayUclik92q3Ks3tPzJmDQGwiHRrZ
/rop4Yya3OrPlaXiA6f6aCtI02IkPin6swo6aywNtWl0TkxTIyLxCVBtG+6sXoC1ns17UbMhITON
0xtLd9bXsRb5LbkcLAiDna+dKLN3UTlDIHsIxqhPo01ExGX1NemLAZhUUeagPcQos8w9RV6QZFfd
GITVBz0NXLWqex0NGGRhSaW8Slvfmp14lVsCoQNi940HElBsJhmXG6OLAAXBoB7fap8mg8ZqBWBR
eZ/4meqzEetotzDEjsBTYcFYQzBuTBUkp34Imuum5r+ulF89O7x50O5IRh1J1SJbo9n0pEjvE+HV
1Squx5I+mgleNhmDo29bBDVoZpQ3ovc/zFLWBGx6/quL7iVazWKuryIv1FtvDttLW4BHS/2iPRlF
XdybWhLf4FRgcSoEHAfyWgjvoOmzoeqzNwDEAE9qtfSckoW2nbtbkXv2lVkq99SaTMIS3HLbgLbh
xvOngo6OweeZWV09jsngPoG29eh9JTUZ9soy7FVj5tma4L70QqOGMVneTc9kjN3GacBlhXk5Poya
8IYhjZNoiaMxid4A1ZJ2sBDxmY/NSsHg6FdRXNNFZxfGuTQ2/TFVNM9Wqi6L01ik6Yc4yLvnjtKT
M5MabqZyjh8Kb1a7YLnYUSHTvYFQNF55diFvjIiM0lVVggrz+9o8TqlqHqKoMLtNUvGf9hDZjjSn
ywvwyBbSjNV8bGXLVKwOmk9lFUOCFebZtel54ak04TzZy9S2DOFw9QO4wLCoHwY5qnITRXUprvtR
uvelbF7E3GJAR6cVw4+T5rwOtMm2n0Ch1VyQyL/N8il/Ss06fQxSHe2ZwVhweAihQQ0ydI8AjfTr
YNCuq+GTX6kirjd8o3KHk5uXkP4+Mn6f5KcVRw9qHei5RFZJT3+Zqfqo+A0EKACDprtGBJkEcpUn
lzYOqcSamZbxkPb2FuKrtbXx/B01XLCjBPtz9uSQHGH0iJvc4+QgRp+HyTS+5EE1P8oYfNyKZAJ+
OWdi0TC9bHrKWCpsnnxNwlIq5ltjquYNEKxo39lDfimXOsmZea5opcPcgk90iuwsWddUvsxhwupQ
ppGFZ96KK86fSyFree3ZW9h3SWl6ywoWb8Op0XCXyD8smk8VMrjiFhyPcrY5cn/nurHYBVYD0Tmk
MElfLUp5159fyS8w9R0stvTgywolDsj+6akrx3r8MGsjZX81Og683V1vKsYX2x6wlcAuhKxaX3FJ
2iDYgYWTpPoqq+qz1f8U7qCk2xnjzRyP+8gQmBzyYvyN/Mt6P3cLFu+rh1KVqozuzns/dt2MOgWN
r29iQ3kbEEdyZQH8EmNxNIJgE8Wf7cLZD6l9cjJvZ7jtzpPWNhAg9HpmZlW35Vfdg6gjOSfZ/9Cb
+slU6p06B8o73415DhHPwgcI8k6dU1hDU5oRWpi6bm9ETa1ICPTvpI4/+xALu4XAco+/8P0F8NJu
5NA76JvENpnIcwQ28l0pqj8HVP9tSf62JYkI/Yfb/g+xzbF8TV7Kl783Jb//zF9NycD9A1AAMWnY
+WlNCm7gX2EpQUBYCqQYH0bDklxu80d/iW1oPQosVqBkBL5RH47Tv7uSjvhD8AfLj4WL8os0839F
xfz1TJIy8/9GS/Cg/H1mswCisFeRyIjr3w/Ql/99egdmTiazhFsCO3fcOE2ev3hwwWNwtqZdM6ih
DgWdOjGy7pkbrLOYsbMv2wJsUERKmAXYcxuZyfAqaM3dztFYEsmVwkmNwywGCdcbxWasom5XlHMJ
Hh7dAQZw+7ZNtN8xym6da3qGjMSztKCsVWGOh8EPHgSIm0s79sOtObwUVYvORsnsYzeY7XOVEbkK
SChnYJeZ9fhCP7AYAWkajHkMJ7ajDX4PaEJOJ2JCxv0m+0LIHhut0xaEkU12G20R9CTHjGaFwjkU
9qCqgH/sejOaqTdbO4C/SXSns0YCk1qrNEidfRMyuFqNMpJnJxVDsAWHkywcsdwnKpjcxa81mqXn
ChHATa8motOdXF3FodJfOeOUz0w0vZyc8Xi6ouBu7qc6jV/QtBC5ldrVihH/bugXaH7PwHpMAk3G
9ljdscpX+ImCkWzYCVoNYbRJdhM4xXjv5sQ5A6LeTKo6MrWAc9tk/Xooe+Qa7rTXdiLuFhGqvUqd
4usIk2vljEVwh2GZegwizYMzMRVMlFJb5AjOIZprKyeOm7MKQRFik05zf0XYVhIdZ2U1p2EmC3Jl
xh5jl8RrxDkwC7tct6hiPzpF3T/0bkZ/uLfI7u6zwfqUiCz61BkcDDDDkChVhsZZz+SQoQzxYcJO
JGhC8DvPsdU/5WBoGjIZivaso7a5osQevoW09VLq4s7INirnbDW4Zb6taWelm1KHHBIQCA/XuTG2
8OP9PntppjTfxmpsvH2cFGxpdqrVZyCYSLd11DSgbnAe3ZVIUq0DTfzkIuvMebLjIrkPZ49PQynU
PljEpe36RrpXFmBxE3xDJeFwdDHH/6re2N3QHDROyEssi3ztF+n4bJRxeyLUInyjFSXanW/SgFhZ
DnjErW6a8BKmPjxl0vAq41MaO/4dycuwcYcgMspVqObsKxQcjMa9tBmJmnOxISLBoj3MpI37mD3S
BpN3YkzVtbImeRKMd8OtVWl6s1Hp0gebwL3zuFYfAqdZ+FpdBYal4c+tKnavm8Htqy3bfH2TslEk
aqUL3nKIn4B5SXCLiSJYSECUSPUpJKuR/6tKK/4TkTSlPs2gcDTzc2nSl0KWo1BBHQpNixX9sRld
SDV2ppP0ZAra3r+zgjTb1K4A3eAk9G2R4DyMDLSHrSId4DmKOLRaeTTkG9EzMyDJ2YY5XSjvoe89
KKFTYnWk+07NWpZkv5EHPp47GvJ7t0m9larUkjU/UftEQ4YXhk5ey/tyiRRd3oWZmj+OkXaKs993
ZnonEjXnIaChuTcf3FnpAi6Y8EuPYOrGOOi+/QjqVt8bWRBmlJCOPjrtcAK1619XbOT7osvsTT4u
vinE+/dNFdjowohRqXDc0npU+b1uHRqrOh1Bn6bJLnLCfCuQMW4copAxDiTUd/KmSHk/im6R7yTn
IcWKnfA3OQa0YBE12zCxn32KVUxgxglg56pvmMMi1VP8NQapC41yP0pmYceI2cLa4rKA1g/UbWK6
z2Ffx+R2OLQR9GBcE2gccUpntZ5686m0uppTBCFq2fTaKkJLZq5h1JlXaWJ309oKFxC4ko+jI0ug
ydVHAozFkeSUrx53bDsm9sVEXbSJULXHTnvr6zS965ryE4Uvx6bpSiSTuSvM6mFIHPhYo+jW2pxo
uWnyOwlbJiGJpmdwgI2W0ZosoRsPqiGfXPrXpFuoU+uoK9JmSagOA9JBnYEplJpoL+IdMjcizOSp
jTHt8uvV8zOHC3Udjtrd+RqlJI/Rlc/dPptxa9Pm68uLOTbV3vBKY1Ei8TRRfN9MbUQmuSIGBsC4
V9830xReKME5CNCiy+8z2Lm3fti+ikqapyyJrau5CJstmRV0w2tvtJZltjGKVcDj90GY5K+itq1A
pHr2dk5UsYn9eLrJR5Cf02C1jzOcIhKW6aLZYXLvtUbDKwFQhGG/uilaIiJptRYPQx5F954dEQ1C
EssK5joB4NymMDL1JrMd+ZKP0QvIqOberoW+s8dwvEpa5Vz8JCwfel0Bq3b8k2I0BF+LR4cAgSdP
SQyFBv8j0zFao5OoNnYmvupxUJcAWcB67sdph+I03PVa5N98FZU3jM5VPyM07JBxo+VX7g1rjHFO
uwTQdSOL5uKhVds0osyuHEF0rBfZ9T4clfzqktxE+kel1Fpk/YWHML8Jidu8Sxdcr1/6YkswOzGL
lnknXOUSCJ0ikZsd5y6HtLAx+qm+9WBWeUPr0582sgfgtYQxdsJ+6jii7xR+URIlKQtg+9G+hCQv
yt2U2CCiPcffW3XLCGPww5On9HQowc4fCTdg8JjN/tHILf8v98N/6+Tf1smYyH5ZJ1f6XZH8/Qf+
KpJD8w+8EgLDyN8q5ND/gyYlR2WbDBgIX8vp5l8VsvOHR5kYLEAiAC7fvQ9/ydFd8w/HX2puSCtM
4ZefelcR/7JCfm/jhQoAPQ9rzaJtsoXjvNO3TUXXDaVIgpPZFOOVkaqaaFk7u4zYyl9J8p6POupc
0o/gf0NZnqLsxnGK9plEFMVCK5RxZ8XChMtQT8Od63TRx2zm9b5qknH8KjsmwMeqcRqA6dDGya5n
WLjrrSjcRmMuPk5ep+9xUjn0KqYiB9aPa/d1GCbvPDR98FGOFdLcOW8Z/3eBZU/0QGgBIvI9ypCO
Ba31fJuiv2WoS5YS6sHC8V9xz+VvpSmOMaDAmzQch/9l70yWIzeyLPpFKMPoALaBmBnBKUlmMjdu
zIGYZ8ABx9f3QZa6rER1Ka32vZGZTGIMCMDd33v3noshrHUfcyDHy3ZUjXwfnKW8iw11JeaTjUCj
431dpNO+uUhdP89xS0q27gl8dpwm3oSx17abbvbvGwavHPm10/Okx/N18TuL6GcUlO9+aRgPdZXR
w/YVYGNgUvIkYGbR9IbIm27QnroXNPE5CQcsGAQXYZV6w7gMVUDIfucpmbxauJvmyAnK4ND7HvDB
sEQvoa0kuePEcPLqEcJwOhXxAb9ecIYKqg5mDVBou5Sl+FQm8ZIeliop/I1GzDRvasseF7AZnHK2
lVuHP7RloiNAUw2xPSnUeMM+QNa6zNvzKPNsRRuLBQp9LUgJmMObVTvFRs1WtiGuPLh1Oa+z8UMW
elR+CX0UJdMxN8yeKkQGQxSmSKAiFwTLp7aYhrPlB0ZU2zMXJywIiDCaqrizaPmamyBeMnheuh6j
mDnLF7zjjBzAiwc3VlLT7IFqD2xXxn7IsVPIYRuXhFsUOP/uGI91UTqnLYo50TDLmGbG5Qheh/OQ
AUfbiGSO74Ohee95lRG35NKmWzA39fsU54W7cSbse0R2LcP3quPYcUTVWbxIkC4nJMjtDnVt5pyQ
nqi3hhDRezAkals3lbeH6w94IXNaZ2/VIYXXnFrT3TL0cfZCeJecFakoQVoXTI/RiB18S6WPk/aT
e8bw2ip+8Osi64tIzEm5tkj36IVfELnqOr01hV/K25hYpW1pQdK3gK3TTJ2QlGrLfo4D3kP2ZNEW
yye3n+PdVNE8igbLwnkuK6vZG7UklIgnNFLwrs56cPGVlXnJ400sA3L7CP/FtCHrjcCekNl5bzZl
1A6W3GdJrjeGPyCcRuBMEK1TbovcurGHkM60afnEFrmPdGvAgZveZWlciXKtM3e4TfVRzC3XfZxn
JpDKJVa5CjruQLdqzVvDq7XY9v3oMGWVzIayZTjbZQePE8zEyZnD6TI6C3M9dCeH1htH0nTLpb0R
fTuemcSUj9qq3GqT1sI7iKxCAxT2D0vCg5nX2fsSOM+4VjaiCPIfQVe720yIBNFg1j8Zo13cotIk
mrxqyfCZPetT5+asWgFzAuoSN9yY5PJFDBWSTTbFQaRsOpVqzO8ZDr2EbldE8cKDbdTOMRviR8F8
dFeiYYwIja6iLDWVt6H+RBa8CEaauVivdj09oapPtqbS4cmv3WVHNhczaBt+qlj5kSxP+Y6iwTuh
YShB+IScMWO3H68e59RdO2dM1+hvf3YK10X+ShRKknPumKEenf1x8J/osYw3zSQKaNtxz5rCMYW1
MvWk8d1c5pomRx4vd6SMceWqOLsnP7r4mdNmP9YYYY4jqJ3LZBmEM8Z9PO+lvYwRkH8ymRDdRwwI
2lvylNOD35XBTU6GOj53Dfg1VfsZuBwTpZZooV6RWedwUYiYS2iZLE5FyRgXXG3byXhQOYSF39NU
s4kEjgL/kILRjpDLVpfUS/q7rA9od5tIv1WVLxQitrkzSQTBaOqP+64Pyi9UI8F9MsRYC2J+/i8Z
yi3bGxnk5nN1Z6kx3Wqg9E+ocor3XrvDq2/F7ie/nauHtk3inabzvC+Qv1zVMgSnzHR7sgfpbOwg
9pHgBVBx/JS6DgqTpHfenJ5bGhfidJntFiu+1fTHmey1u7738ohQjJGnatKfYqsUAfogK70dVMjJ
nGLt0ns0RM3EyyKV9Tkzl4Als4jviHHOjikqYVQuox9schX4Ucyav3Uy1NioUJOFxMgm2Ze0jGh8
FvI5YX6XYEPw+q8c/9J8sxgqvdgq74+9LYk9Waz5WzmMeYRye3kiM8ZG4ZD5HfGiUJQ3fts/M8S3
LwtSpcsCxpZRlzBXZFSbPHpitD6hP7P3Sw3USxNEpiOhh+Rz0zb9vbMQLJX0NU0zFqb2yI4+vyU5
M2MncbGK4faZd8zMmf/Y7gLKfhzOXjc8DAQQZSv/2hqGL2Yr1sOtpoTJzS/aiIEhoIfp0s+YNiRU
oKEWIztRbjKnXeqEyV/F7H83WghqtKOg2TTmvPwIBiV25EZRBqPL9zeQ2ahwum6SmzjR42Eyy6dp
Ro1NTFe84yaVhNb0xXaELvHgrJ0kshnPY2w021Z0f6Dw/v98/LvzMfb0v5W2XuoRq8zHTvI//+p/
O8nBP1amAe0XCFXrsZbG9B+t5NBF+MoIgG6wANvDKe9fB2XH+QccWaJfRcAxOoQD8K9Wss0L4uNF
B4VjCYTof+fbdNZ5xr/pW2F1OXhYVtQOPWv/L6x14nSmsU6t7uRV0sf+nhnWo5kQ2BWotNnXbRYw
XG8Q7veGL59w8TGqLyt5NrpUnvvVpOAXOFdqU1SH/Jf5W1nYwoMgN56Chnx6P2k8Sn5zCCOLIvbO
qrB5ZasNak7i4sXFlbj7FUlHN06yFbsMZyvbV9s1sCKyYrObsJ+s0eAtx8CxGuff2MAoRz5cgdUZ
uxJMVswzQL4/99IzDoyqVthA6EPO95xXIUtoXFv2MKzfi8/9byXU7ydMXHHQDo5JLjSlDoyhD717
m8SgOc7z5jQZmH/muCCLBQchtrzfISw/TAnWd4LryDEUrW9o2R9N7QtLGBhxUVDqwD23swxdgEYO
gkw2/YTYwD3oJJOP//XXgyhJxDrRxSs4c519/ZurC0on7bmqL06jIEkOHCzdkJ4SzduO80qS/u/f
DdYjmBm8z+Iv5N44DKa0KjOUZebk5deqKxeibSld7sYifPr79/qYjbBeTzQQKw7FMWEkfPSazoh0
EgTR6alN5oLjXiJZgjHzQxcBWrFJUEPfjd1oXSb8NEfUU0OzS3tCcP7+c3yYHvIxVusiCl3ArvzT
/3DDFlbv63J0slMLQDvZzr0mBSmW8ikUDd3Gv3+zv95DnskbMmKCEA4g7gM2o2vDwhk6kZ0aa1ke
agyr28HgCW5ovSeodtYUO78iG+037/t/fUkgTaAShQB08RFNnsfZlMYC9GlFQE2zUfyakzPCdalS
9HB//x0/vJeLbZ2TfWgxoGMVxEb851vWTY3JUkmYnlKrjekEah+Fg9npm1hPzvPfv9eH9fbXe8H0
41Iy/HYB5v75vbJyEBiEuYcIkZ2sbS398lykjvqjp/UfZ4QrC+jf1vV/vo8jaLOwyHC72n9+H0IK
+k7Uc4qw0FPZlok7X8rVFScxhcE5SdOS9ASmDAhAUKXIHROP5Pr33/XDvbN+BupHFjoLIiuOjA/3
jtJWnrbewGdQayYRo3XCBhYjvkpHl+c6Djxwf47+zXr+6xJ++OqQ+/niBIiwh34kfKlYqHqRPrIP
skk+d+iHzlDH9G2TVcmhc5qKVCqDXEdEWCtwHh+iVqdJVPMP2istgAI6IedcVnTfTQOJJ4rmsyR3
4J+Gof/4C/1fn9PjhyEshtMBo+QPlyf3HDktvmEcMZeKb1qPbod8vWDoJwsBd7oi/JZmR2b4/s6o
p/yKQAzhiFNJeRrz2r0Jh1ASTRA4t6Ehen+P5rzOiIYLfXX4+1/yr3ftyulxcG0AiYHx/OGjmmHF
OIr4OAS3BHcyTg7mPMIWMOz+/n3++iSiiOAnA6IV8M+Pe2NqYLKVRp+e6glPc5iutskqr72bone9
T3//Xh+Xc27PgFF9YP9yPgIr/fCldACE0oVze8IyAP47kGpLgUKEJI8K9eJqIp4R6Fvj7JMgX8UH
UkiH31xYYgjWJ/HPt2vgMJeExcGhgI/z4TxQdI1h82TIoz9OnT75hc1iOoSz05zisVkeDEeY37zV
Dp6iAWSW3CSwsNI075ArlziJe3zs53Ac9T1lGobonpCxLmox2yDlzsvlWiRrWig6qselcOS7Yh70
Aj5zudJ/JLkvbDuxVpNEKZfEL6vOZMGlArQfvTEXn0RCavfADOuSVPiptxiDVpY8iaM6lrCCiipR
d2UHG7CQ2vy2GBzjetIIlk04V/Id57DXnCuoigtWpkaSbGK5/T7zk9Vn7q84ToOwUXNTtbb7loTS
+k6Yl/M80aAkN12qEi027sn3Qg3utC1xQSTou7Lkyhi2PLseS4vVqfQbYeYxmbix986QluCSiiR7
I6qkiU0HkFg8ooAV7mFyTQ5DlT/3PwIfqViVtf5r0E5d8Ejbg/uNpz/O93kd8vbMDo2HwO5ZO81+
9F8XhmXbGWzV1V//tvfIrYo19N1dm04YX/01ABiuj76yzxQvbasJqV4vrxTwJ+wqMR8ah9w3BLR+
kZxwOgrnbJtlcs3jsESUDYOj2fm/VqvR0jfdsKyRGNZsfK3qnDuyNmeclwU8beJBGq6dRgKKW9g0
kye0yO7nsTOx3NixWd07OXHg9Bl4nSlJk6sYmC8ysSNu14SySPpLp2NkVJBbNhjEvU8Mtp3noFIM
4Ax4ducSOMO3gjjtvUXf6S3zWgOpr9djbpdpuTx4kzFT4ubdfA88db5LtauSre9a6deCeIPTzPDo
BbyzS4zDeh+WUy3PwUgfitxAAOvbZbY4wFhlvewrVXAv+eWwXONJY42TlF4a0zi51aVnmCjwSs45
Y7ISGDK+AKGoBP2S4MgNtmPw2bwlBIpRfQfcvd5q2e4kXfbjiDXjlrmZ8SToAa4aCEJ1Y6Mg4S6A
qrWgTpg7d76rjaLdD5lvHeMJfxCp9V6kjbrDApukJzPoqpspprdJEzjdEq1nXi2HLOqxNQUhZp58
igd/V7urjEFU+VXzbpGUnn9XLv4hJ2Uc8bCcD2aaOa8ByowNTg4a3Jq+cT46W9OYF+LbbTuyRIWD
aWYeCKUS+SlX1X4JU3WXxpU+Z1a4J0HS2dNir3EuODTCDAbueTmFG9xo2bnIgy5CHlxstVr9dr0r
N4PnvnZ+71yRStx1M7JZrGPzVunAjdhwnL3Xps9CEiJE3rJ9A28sMsfci5qhmg55WJpRvoB7SRZT
bMMGUmMaJo99or+Fjf3WjGTYZ0bpbLWgj2kjPjoZZvClXYeRG+U0RaTngF1tbOyvpeOeF1JGNspO
bxORMhx1xZNS8qau/PjL0NjLLiFL85wUJQuwu56RSlvfitRxrsy82wcLi/nZUDgQlkVccr/VQYO3
PvORWayLSNz/pFfdHMlMx6BWSSXbjY6d7GzVLunY0oj9y+gVfKC6wJG6Udpenr3FdfbzVGBzGBSW
MrrO7R0HJTfZToL1IvexrYMuiJ8R+UyfdO1xfqh7LICbRi36CsnV2a0RVXs3x0aZlWl3mguBrB7O
Nm/KKZrAUfMx8Kbp0Z+03jnLOO7W/Yf+KkFg8DMJ5b7vByQXPk9acXINwP0bO6/xUWrOInkwsxdW
oo8ETjiWomqipUoyMeaJ0D82GaXPyP1HhoWu9uFiuodxUm4TdY1d3pEV/eIXCzauCTmjS3pLFsVI
pbLtAN8g23uZTWcXQv++ynLv3hxnokn9Mf48ZPF044zzdkjldM6wfKEewd/z1QEPITdeZfdppFgn
T1XYJWfaiuhF7AkM46JKbkxiOAdKhMJ4KHTn70rdIUCmw2mWtP9HtwreB1i/TEcqC2NY6fmfCbMO
l4PppQbKh4kpST1yHsN4e2yWJbydjVY8dFh4ImKYm8gYWh/PwBQCobHsYdNYY/ezsYNg10yZhs7i
XP3SNa+h7LBduaF1cT0cdVhKfDQbRfhQyBYci3SkQ/GfJS5tis56MlLsVNZQhGd+VLQvHgM2NmHG
PNgu3e/zYvYPPvqo09xW/TaoESkHgluABj7qFxl7h8lH1Cno7MGqTt3nHK3XPZ57BzGJlZ1k1tor
YCPdOsSotkpaB+V53NhhdRW0DyJZhvZ93BZwlFrfuYQx8qWOTOtP0mutbRlM9aEwl2ZfLH3wNg58
JRaaNlL9lDoROP0OYxL+gEOiKhtl2GThUYCy+lKZs3M7mkF9Zy64Fxik1mLTwCOodjonKwVRmyoO
RV75r14uaOLUbXxDeziokYK7xUkbof45UI5fGFaOD4NrYDQArKH6CPUZe7obTh2pY8q7pWJvDnnp
+xQAVn0uLA2lQA0ErGdlwcTRG+6Cfp6PTtsncGvC4FjOS3eaAoxzZFEFN3U7y2s2VsHBjVX5La9a
H4NXE7afXQaXeyGy/D30SqT3jd/UJ0Qj9JJwtb74ffO15KV3XVu7RRR6C9aKXi7qzWzcDM2T0WPm
bnA5sbmaQ9QmFWLsDM0c3qA0Mutsxy+e7vLS/j4ZIVY/RN8MC0On31XkoV79cKy/+QQEYPckxiII
2QNbMpkP2mM8BIlpuLdM1X/Lupw1GyRBiWcu7PJ4iJSLt8V7HsyRQPnvjNIDjFBuNSfviYFeakj7
IuHBHirKpMF4b0VCfLjX2Lfp5I3PBnnp39wuDV7jMewqYP44nLczZjiPbY9Rsw/hqSohDgtXnwly
DeNdKRQEJ9r4Zl5iuQwgqm6yltw05IxWxCkqvtW29iFMt3Q17FYyjS1mh081zEe3ysyrO6UF87KJ
PQMBpi6jYhxB0bM4JWAdsnY+WnKdiHZICbcD2SUsZxoLQ+BkNs5dAEYnL5zZRiy6Q9yXRcjq0y/G
UwqNgWR1JN0Nm8LBMdd4iyUl1JzaiAoDlUqF0fe97YL0K/nU3Mp0lMxrAsEMC7XdzUdSHuSL9mzn
zbAbA57EOF1kgLjHq5YM7z0vO7tz+GxVJMXbo9d9lY2bcpw0w6jt02cOxsC8pUAomLePwnmJY4KJ
9cLyCv+Um6p8Mb3KxKxmPPoKJEfmV0tk+sHeXQyk/xVjBWZu5WbmcIL7PUHNXnWMg6ix6fa7dRTO
6be8sJMqAtAt0AgONVvlah8y7P0opp8Doq8DtbwbtZ0d7nMUFFFeirPdl9ADyGUj2nck7BnPMBMd
Y+tLbmczm60b7ZW4PSyG7bxwUo/BgfiKfFOWujigW50/tQLLqj0G8TWr1LvRkFbeLrjPhVL2OaWx
u+vpZp3TDpx+aNIesGfygJ2mGw8NWKxv+cDsjRqfXYeD0BkVoovaN2335TQw2h3m7JJb8yHHnkdS
dDJHFNViO0BTm4RpQdmbxdHrcG2ZpQooTaBk4Qllg6jl/Wz15mYoMuLjh/7n0Bn1rlkZ2ZZIV1lt
+LXTRrnvyGW5GRp6B0tsnlCEPqC3eEuFu6+BjXFOIQK57M+l0b5O5XI3wulh6vIMK+3KkkvDiFnR
jeiW96yNX6wwfPTt6tBwmo6qDDaAmU6HJadJ6Q+AGzyzj5YuHrehYXnP9QoEMGv72xxaHKzgD26D
xD4VOM62oW3us7G5mROfdPJYfC8V3kS7pKuNYouKIJ7G8fPiLN9nfCcCV8q+hTYzRTrU8WegQTE+
ly7Iz27XoNUmqT2tU+dgLTvVkuSuZjjGQ3LxwEAEanxqgzbcJX36yXfi5OhPYQ5lSY1fDLsLdjPG
mqOihrmMY2ccOwzUPObaPHtO6n+B+VId0rIVmHoTaE1pK2iPTtlaTvghNK2aOenOTFcA2YJE4jIo
z+j2STk/Qq4KfzC418bZaAoaOps87APzYCt7cm6GoFyjmNpEzfeF3a2vZ7d59oa+REw0Liw5nGIm
nuHen/Km29DVdLGcmRlOQ+xzqBpyzkNH3yE9+3Zg6ptue6POWnLHaZqKfqLkBHsRdaMtX4M4l++9
FDyAvCsjBnimFCIAxooEBGNNWRRz25NLzfJCn2mdaaC/kK+/sjyl0VJjrLleWbqA6WKPewlaqa8G
1mrod1hzBt0K8zYzvFTtiBaj7Bh9liWy5J0IOgTVCZwK9TNbYAFmQlsX08qXvRV3ILty0DxxadDk
joGfPFq9NzCE7KhE4kWZ3zCBC+86JGotecOh1lHiNf1nknQ5OhQGYcuNBX2Ksz0vjdHTQOlLgb71
dAx30vKpr5DdfxVFaW/TjuPfxk2ae69Dfo844lQ1ZAksbPknOyemMe0deXYSj6ZAT5GP25cewTqp
+fV+qnGNna5Fd5ICIB11Ajob6EVffv0vMAPQiQrK/l9sQN/zlqMNJOutLwdqMDhJdAkCZ7qbFo49
BsUms56lEp/CnIuJOdaDeDG0+1+NYqAUjFFmYNpjTt+4KNMGu0uaAFMO+YhlAjpILEN1EKXXf67T
gS+QZrwi68jy0NN4uSeWx/pSjia/epUDc5TElZw6r5rv85nz7oIF7bjkIyzHRmtQ8ybfyy3phTce
ZV+rkgYYkc7aA0c1avtxLPxuq3I55Zgx6YrQvGQxwJwGdwNxbO0qj4hhaZYl9z/UrktYxw3RWEZ6
MIlIR9i+3IRd1yNfKUJIZ+wdiIGreKn3Qz5N7qUAB3jrWZN3U2cLE7LFo3klCZX7dd8Z0MD2hJUZ
HP/R4SK1XB6SoUfDoLBt8vkSJFxGRXcNNZG7PBTjek2KkSmbxb/yW823tQ9lStCkjFav/dWurOqA
XJMgtBHUmK8lip0V313X6bIXLnfA4Jq8dqjWFywy8Sm2oTKHiQpw4aMyH/wG3Hnlm1/Adi2gUNzu
5Ffrf60HrpYlZm5Yy/H1VfFCO710oYfB1YD2DLUAE9YATyXtue8Tg+M1lCc4W78aT1go5ftiuTSV
MkiTzsKLZrNRv9FKrBxExbZ6HuzZuoTWJM8qkfWbTCB4apnw6BgJj7DrjMwmp0GeZWPVb7nfD6ew
nQ0He4sqTIbkhbQeKQ74hhX879VqGeecgNcM2rBK7Qt1S/cZliz/Q4md8zzWXCbVw1yciNjgpMUH
t/s8+VEuZfPWBilvPY+9OmP2lCdQ9NyQY2D0b4tGN2LSkRta/i7ssN6y+H4bvV5BagQQ0AzN9wr3
EEoxiKi96uTZJETqMAySh33mCZSjDulYVOFh6NSwi2uhrw4t8GtTgqDrJk97RHwt1k2BYeeucoQ8
eyCy081A5eNtK5bDg+l4ND8YiwZbb70LpobWnNd4tBSAygNoCAZqwolMw7PwF/NbbGYgB+Hz1ADS
mvDg150ntzXVKbYZ1sfQ5UohejaeFgqCd182fOFwWO/BzsS3jY1XntPYhkQYIDQ+Gv6KCg18yr5A
JOpnIKiTcRdb85cej+/XWQUre4wDeUcrlfSShGMFOyNwyovVq+o2mYbxKTWn4EejXPme1nN4Vl5S
aGgy7ExuSrIJZCVcvvg8upMKCXLOxEop7NHoy61f0+DeFk36v0jK/xc6/EboYBOwxvDmPzO8rm+c
/96qH//umPvjj/7QOfjeKmbwTWYD7qpKMBls/aFz8MN/MN7wHJJ3ORVbNk3/P/TATvgPn8liwMl2
DZaBovkvmQOOuXXOaiGZ8F1/BV//N3rgdar2px47nk5m0agm8ODZ4uOErzLHrCuTHN5fbMGWlFiR
LqQN6+fSmlUUx573myH/XwYmuABp5tPt55NT535o6tM3SCBtCH2c56x7MCE1wfCZfmdW/cuQj6+0
ahYAHwuY/R8HbIPX03f1YHBpbNKHyZ7bh7zu0BL4brMzjanYWD0BbHhujMcegstvZpmICP5yXYGP
2+uML7D5jf8yZRw1y6X2B9xYKPVooCXLvvDZk4HWBsjLku6M1I8sA82c09o0dFnWLkZKjkfPOvaJ
RhCe9ppyjUinJOW4ZLkFB4opBz2Q8/8WtS5hMBXGohAHZmyUnuxZJIdA63cEXfmjkwV0AgHaHBPX
Y4X1AbqQL9l+kShoD+v4AMh1bGFkWeXa7Qa9zXI029l6EpjebztK4Cdqnvl+cEZ5BoTVvAVlmZpR
Xyv9jnuRDRvzy0sxVvrQZ3N1kZZBArxMAyuaarvCwGUSzpjq5hW1Cn84zWl46Vnvd8y25WOo6Gpv
Vd+Y9YlLVZVAFhm0RZIZsXNAoMbXNP3e3vlLaj/pWrO6znVy57VLRWhYiCyS3aDYNH7aPdSFQpar
/GmAMYDMrhfk1i/OnBKTVU5bhB3dOR/t9oHzGrzS0Z8PAkjQqR0WPo4zqJeMQuylzRbxiV8Hywva
jB20nCIaUbl+11iPohhdb5TC5npOBlm/jiZUO3BnlXkUU8gzNLGxOUMVXgTo7CMSRP0+jY1+Njv+
BNVs/1kgabzIOXYhmg7W00iT6nM2TNVlruvwUpbkf2zDrMW55pYTZhwBOQFySNHs+kZi9quUvaOl
lj82Igk3I2OSCKtl992V/GucI2pCKgnn6Ejzqd9U7thikuRxDoxBH0Q6FiccXs2t9ptpi5mGCqF3
qq7amXDOTk0fMGBbaCDDHp1BPsv8MUbAR7MuaW9RXUCiD2P1MzeBk1WgMEl2M00WDav+ms6teiGM
c7mGreKlQMUfmpJkBWvmG4eT0dzKfH3Yjda7M2JT0XHkuwg3C5npJWWksL0hIk4q9ZPpuD4gfHTv
YpdfQqowQFLc6C1INmiijCK5riha3+hSetCEZEazduYIyYhXykdhyvY73JPlWk2JfranEgpRzcNQ
dG2+pxc3/DAzYT2lbKhbpFbUKgbXFoCPeczG9VKvt2gBROKn7vj2S67B67cLv4Qran1AgajfO7jK
r0UMyBao+Otk9ACl0g6HQfBO4c3xKzVK1Mi9LO1T0ntfTdoPX8AIjy+xzb25sY08PdgmJYDrghiU
vqJ36DfM4j1uyvVINCf8UMI3BljJbnPXMCC4C4fJuxvB7zxVad+8jp6AR0Jbabf4lFyAu+qvTunp
m8wxvE9zsA4AjIxzV1BN9VvM0aQivAQAa9hhB/z15YKEhwDbofE466YatjMy7euE8e8zrc/8UYPQ
YSZC4A09X0uesTqWkZjM9DjU2FyiWc7pwYP1853IK5OfqUTkug6x2i8grcJLZmrf2eFGaW8HYceB
/TnIQysXr6qupuF72o3ua2pVZR4flbNU7jEdFqPaQZ6cxqtuJ+mdp9gZ3UdAKnrTurN+tgLqGdSj
mDgsb+7QGS1gj9Fb0TJBGcj0AT4WxuPqdqyZEwzcYWfXyO8Hs8eQYBaPhjfeumVT7oPE9x4WiqaN
59P77byYHrK8pWHC2IkEumNsL8mptPPnHqnVblyHIKOrv6UBE0lXjT/yxIbMUMXfkSgkwDRIK62s
sbmAKZp2hadmWqvx8MMCKb+L0x6QUSv3xQQniJSDcGvR948K34uJ2I7TW3dhAEdPVekIZuBZZMHZ
yPE5pEUL+qMBVXVCIgDWzJjph2FZ3pRpTmJeWRTvcYPAmWTItXffuzoK3epRY/PZ2aUR3mRJ3FwJ
kJxgF/LAtllp3aTAa3YjZCkEN/yQtqXMk0kL/1j6VDXN4ATYEQ10xau6XOGmPSSm30S2UZo34MnC
4xhbn5wSYb9AFXyxqtApdjbX/nvfTJOIvDY0lg16/lWqWwzqaDcpSgxrYmAr6cf0dOogG46neAot
OqyhoI0sV/Wv7GE+T+Mh9mL2PDbwALAh2xzelmGXVaJ9RKtobawh7/cxnYOZ/iTckjCYvwZIejZI
k+ebao5xQhZ5/hoasvYjMQtNLIGiz+QLyjo0ENCbletwQnTaB05ntC1H7DcnUvBsc6tZRBLM543d
bxqeq6tb9M0Nc9UFp71pn+yZUHTAiDxV/Y7Cqt1UxIFt6CZ750Z08/MyOVnUZcwwiEg9TsXWUUZN
I1gsbw2YwpOty+WpAasVR1YfEhnghadylPo+zZ1lq+TYnvOygaJsFyW3e642BS4WBmOO++D3BCDW
cs3EjrsJJ2oT7FtDkQC6jqwnDMNblJbZF1+ALAhMPe1dqYE5hcrYt0lR05YrHwoyIYCLmtMpTR2a
2q5S29iIw5ciiK1DkXLHgxRKToGa5QpWc681sEaGJ5PxiNgguLXaRZ9XkWjBlDxMGPWLrvzpxu1t
Ihf/Es6DLcgEmGj5AhvyGL8l+RUmuHWCr89EJk1Ed1PgwXodM1/D+PfAaNEAhTGQaKZ6UQYx+mdT
lmWxxQkpoCxlpoJiCMu/KY3uMFqF9wpPKmVgnqfZxcXJ/r10MsEIuncVEHELD5T3GirTPE5JjlXZ
rCsac8Zc5Xs/8dS3OrPqaCim9VzQtA/zPBRb0SqApIEq0xtjLuDeSO1nSM8BDJ06R3WXsO1rN+rw
6RZYvLz0OFeB7PGE1N6dtqF9LknVfLMbamNmjDpffxsKv/WIlGUO+9CqUsi8vrqENsP0oGqGHwFD
xIYkTwKe9mbes+E0rMLvpDzRbtCGfGyYpPIMIL+4+NJs5Db21nIzSTHyoCS+W+DKPRqYuvm6qQMj
L0/zYBuTUxqVHPIS0G9z820GFNPsEqLAb62F3VmPnAr/efhqU9t6yizd/2gyPwu2Ni4NzsnlmnU2
r1xfjqHi0wzKs4c+2rbVzlakOWSgTE/otKpL0S2QGs0eLUo9sRh3GWyKsmFssk28ns09LGvjsQIS
9pLaTnwXl5w0Kk80t/Hy61OE7RfHWBMBQBqsizLChvch40yShj7Hk7BtrXuWweqH0wgymgz0bOza
aHwEriW5KXH4AI5o9IF4iPEFDCC/ndUaQUWPvdOHuBT6xlToSJJRTds4Zi+vOWy90nIuo16vx98Q
bpc/zMWJcQzg09i1noJy1u+BbtID1ucaWUwa0vCc0GBoT0JBqhunOOVE9vwPe+exHTeSpeFXmRdA
HwQQcNv0hl4URXGDQxnCe4+nny9SXdNksoY6qnVvZmqmSkLCRMS9//3Nb2hwlnjfRMBSdmkaaWbQ
gJ6TvlC6QBGYhnqHyipe4s1Rxusq86ZNAW1gVZKqsvJC03mB/dbvYLsFG00Yz25cfhnywCSClmNK
s4Zg1ZVZcdnXhvza49l+Gc1mctT1zHwyZBKOl0TP5/2xDkMX6FMkK12CdmE9PG0zXuEu8CLrWhdh
ua7HjDpBpRZxcAMbj+Z0lCFVVF115DqqN2vITrvrA5g9GkgFJKdAt8hHkPgImg3fti2hXTdDAQ0a
jdYeZItaiSaFejBI+I9muPg5MrSMFXCqkcZ8rm7ztFLv0lPlUkIh5YGLLqQeEVUHBrvGbq68SnCG
uYg74GzU6dTqfdg/KFJlSIaNkT7VJpytQ5vOTn9R+UPAQ4oYyGtj05LcEyQ4Anel6adYfqFfgmFv
Ga2GjJsbyo2HwpeCIY1ZJnvHntNgj2VLtEL1xP/Dp5DyV3qD3GHpR7Zw+4VFpXP0kBv9cFK8WtkF
qaVqPYyVbVjIHQf4+61HPn4s6UdKKAf20kLDVnVJG6Pv6Hr4tF3ZfNFjSnygTGvZWJBulpkHtDnW
FMxuKMtvU9wlmzpqo23Xc6rpyTBjedJSyIUk6jy0Ufrk1NTtEIrKr+6QmhEGi4rnoJ6dlzCAP8yz
SqazQu2ujg1zL1iwtwmKra2fhNjEu1ab7lum3M8jrJ9niZqROitFuZSPvE+zdesbOgD3Yqp0nA8G
mi07zclTgZWEK7XAH2dsi6dW1dR56KVoIFuMd+Scjkx3sOrdCNyE93VDRhUOHuaCM8u5zcy6e9AF
VDKw0OIZ505wZkllWwq6lhVeaKy8Fq/BL0ZMI19VaXnFmMSBryDH4rn1cwzI3JaK1JeS8IbCmlkj
DaNlsRgF/xJPm+o7RnE8lQyT5YaqfIHp6rwjXbc6VGUFGmLAjluMntq6QvwtNtaE/IlRQ/WItNO9
EAPtbVOG3kWANP8QTQ5GpwEPrmbj2uY6XsyFm/cPBBjQVg1TtHVV542SvLzKEvpyJ6I9wTZ7fmHa
Q+hN5M7lV4SEN/3olN+Y+9Dm6BYSslxC6hrwIxOSvzTXVMGifvUoFYcG3SkfRkEa6MVkDjD+1VId
6WQ5SJIB30/8yq1q7DZjncW28jrH8qyP6EhV0xCNOo1TOMrqVs9r3kwRcwSc9kAce3Nf9djTMSFr
nuF7PdBPm8ygALS4u9SZjnMAVDv2oBqnzxDQmg08QAC6G09xPQGdptlM1e2p00a5mnIrDlpBQceK
DUy6x9Ex2qWSgyx1bfei821im1VbpiHb+tbKio4CoIdHrwAUohOmTQJneonp4UvtwjGaWW54Q2AU
Q7TBCAbhBqAGejkmd1Upx4yhUOJRH3IUdgUzo6rrAUVI0pgBVvUUOh53hMrRoHmeWYJELQN9+PA7
aal1yF4dA1gv5hNkoCSGdZ6xYoIxs66NxFaUcV0n1cbuGzhBpK6whyXV42yiIcXdYai+BzGdLjyj
6XOOxmXhG3W611RTC42KbY1OiomU6pDVaHLhNk4OT2SO+Jsygya7mtniTMHlT32zAx3jckzAzPIi
lBDKtJ+6PqsyxVGOVmnGIVU1xK7/+jShMmxKSUueF8K/00WaX5SFQQoTkWEXjJdx1hNgF4wdwTI6
VaMMaKnxJKLCBdVv2dw1o/lRpF7xRLYE+U965V0MDvtsMYQ8wtCCGq7npL4MSdKJdUPZusbwlBaR
2caF+p6rWm3DjV808JVTkCAvcqg1kpo/jgc99lEIse5DhTYOFUMg8j/i8km4fBJy7pofXcUAJBR+
cO1A/IV0qb4f/At3lJiAQDa34yvU4VRWuLhabYIkT+6yoad7hw62sh04VKezQbRAb0z9w2uHLZ9+
H/Cqx8Xk2gk0i6Ni8NyLyuMJV1Ni3MM7JswG97+lDc17L2lDlqEdi/sS2/9F1PEiPYC5/ZTq+cWM
W8+FhSPxPlPvIKRe+toQNVJu6rmgKBoEuxl8nYdpoDwpE3ARvUiNeyjUbLbsY49F45Zf0SUxHlOO
lycopm8Bi1yDUUOQ45YdjwAZJPIRDUh5mWCbTMpfVYzQXluKzJNytzVN0CfyrXKk2n3xlBoawOAA
VmdGPiVaS8Fi2tWwMgD1cC9WH89pmx0dngYdO/zaQgZf6KYmOFuG8hiDNET3X5uwR2mWP5cO1ZKG
snSCWNXzMHW2t7BnHSVQgb7odl9SW5t8axoeSiOu508IbrNon0urOgxlCnijtkpT56HU+NiTioQ7
dWor613cD9dmhYnDIqRVZU3WoIJ5y5zN8YS4Nyun++kozmjLT4fZiIsMJCmKP6Z25bcmqyk5KoyR
9nj6UjyWRBlC+H3qe4unhrDA3BtuyFLpE55Bm+pUof1QPVKVxHKBbQyst1QvPOqWzoqumOexyQ4M
8x+KwjeX3kQITt/xwic3mS8TAyjz9H+eFuaUxRwxGly77xZu2Xdo/OQ+n9vxZjTILMOvNIJWULCg
I1kdAsdikyGBNLiWpUPw8mwRL1XaM5Xw4EybsUleOjkXNgwHGocTQKcoXNKgIxhUFTCNFaUw5NBu
SwPHHQ8Q5eNh17nyK3yNcDUrBJycoXLdWYy5kM537qH12+I3WqFz80pQboGaxcH+jxAbx/HOBDxd
QVATo6x2JyPA4aU9d9a1Y2MsELTMMCfJ1hZ6FN9twCDTCYoM3wnL3DGefyI9hN4lN6tDY/bTMR/K
6rHrpLzuI2P8zJYwb14NaW5+DTheR6wJ5ifl27kH0ji0pQiByETBMJB//0qMh8Fx4vSa2ey0SDFd
Gwb1U0kvpos4vMaHmmcdqUJU9DRFSdtQWgFlKLJl8RyXQKunl/3xjzpNJd7+KNNy0AaqH+WgvTyb
jQQdX7IXBc0uy0wIZx5cgFXjdhUKbq3f1nUXruje5/WERp1CpwNki0veLiFUdHKyT+7wNq0Opspv
IkWx+FFGqXPr2kG5ZpelMNQIeVpUraWtPv7lf9OpYC50evvoRuCjnYmq4GYlRRBo7Y5AyOrgk4Wu
kHuqxyqu6lvYtEwizMpd9eyJT83EKUIiJH1h11r/nr38d1T521Eltj6vXts7b8/L56Z5/h52EMba
5u288vQn/z2vtL1/eQa6awGFxXQEes7/zCtPLkXEB6F5ZFRovcrTlcZpKon/pmMxMz2Jdf4yMBJk
FeHJyYjTtDkNGYD+gYHRuRDK5QqoEU28x7jYu8EauWM2oKhW7twofQlpObeaS6JV5OL+++rp/M0e
8XdXMshORYLEwIu94u0WkWI9IlXbtHONmXx7vXwqsSJaDH7Y/WYm+ndX4hqQlyXL/11EcNBq/lyX
MPPbAbNLv9Ovmx6Pd7uaH/74llidhkRZb3Nb5x6+PaHWXlHPSAA4V5I0ecGW4iXmf/+Ty1hIjx3e
+Lt31DJ6a0JrLNlwBm/tuQwXldp6mYzRP3h0fKvI/nHIYoR+khK+2seDUieYI+SOevj+FyPaDFjx
Br1IHv/mptSJ8Hpz5sPDcgArEd6T+OVh+/rEcHrkNK03lLtwgCNld9PdFIwP5JA+lD3snY+foNrp
313MRE+I7I3T6Vx6D8WyYG0W5Q6oEZCPkmYXw8rD4zt6RrYFk1nW5oIUhfbPP0XXliRpKwE1AuOz
j96uC1AZ0Msd50rxqcNqAG63ljxoMf/08T2eMwFOD5Tzjl0BB2BW9dv1NXdxN0WUDDutq+odiohp
TbCp/+njq/zN2nJhSvzfVRTG9uoDUQyLXmOot8PwxoKWND702ZAf8vqfPbpXVzp7dKTphQUDcT6Q
tJtW9hg/z0inlr9fXu/0mdgrIzwnoBdSCQZBKuTt9T0FHRNPSfG/a23itiytKRbQjRHzmfKxgrG5
Azdk+AEyu7GgpC3xTD385qme3ArefqGeyz7Px+l4kqhUtVxePVcMpyw3K8psV/YG2SJ6T5D2VFLm
zjKbcC/Vi5XwarGpIL/s9HossK/CwNOsZH6AmgFHniy1ce2OmEjWzAK/n5BsJ8ZPWXkobDoneUGE
Ze6Dmcjk0kFRg8iDgGXDo4YpSv6TKfSzNYiXwYSeVG1nrLLbqfYM0uSMYm/hh/nUZ9TqQzZaO5/A
ikUxQTAbYpZUgst9AOaLnfOCoo7KpKLNatswX3dJmq9bGoZPrRbLA+kcw/fK56ARrc1vtwVXiWVx
RMnTx8vQIYMCR6dU/xYnIeb2uDiStOnJ58znphNUHRsircprZonFqrUgrADx+T4RHhgxjCDpLQx3
nyax0hnIxXjgwR4ttWWmc3dzxt6Jgqtdwo8w4HCwv4VBlK9tm1MIrabYtDA50U54wjzIjI4qptk8
It3AeyGjNnQ9tJ4ktBtfCAizjmMg4qfALdIHe2AAXTVm+bWyM+OLz72XC2cAJiRmp5v5TT1xRsgJ
vBZfz4ntZrQl0A6u8+lDM6CHpf/MbmEPtk8+j+YYxlV5bXfxiy54p11sG18Iw30Zm8H/1NpzsR/U
7hw2TXGcUjXmqOm8+Hw9LyV5KLLHuxid5p5DpV3CTom2fZCaCyoRYt5So8uh2qHEXkhMfq4CdDVw
jYP8xYZZeYWgjYfYpVbOcHRgYHBaeWkTIKnTffcCOV2+TiIegt+FMIIl9PiMROJ7d1ZR7wFxZ0/e
DE8wq0haIN49hmXQIpZfkudip9uIQWV5KYBYvRXpb/1j6Jeat2Zm2rgoehAxLmzAswsNZukXV8ut
ewZM2YvhoETkHqd1zuBXsbwJ5YPL/FCwuO9JveP7sWhWIXLD0EkWHrHlxaYbwddr/P0WMLZ4Ba0/
JkjhkF0XCy1INPQNtvfQVDXLTuXnopvhlJ3xlt22rHsScNKhDB/aXAv6befm8bM3GNoGymB/aTsF
tKLIQ8jU9P5IC+n1j3M9J1ur7FqyYbTaiDZxaVqzyvtjqlk30PUXkMvFt9krmx/GzNqSGrPHVTpY
zeceL4+vQQyT1ZmIX8/AhEl2Y3JxgA8XMYccUKuJhDdhhUHyVAUGiZB+kDNLaIwl8oIXenEP6hB6
X34I/Pcgm1ba1NCahzAoroIEp7IuSL1trPGGOpPTF50DOLJLG2Ghi/6E6zrqvrAcw5956Vm7PLGB
lu0Qxr4U3WPZTP3WxDa7XnikDq9ndFSHAaVLAxNqUWktY1CRbr06+Nl2NXm9zfgJuSQMhx7t9BQd
stwGMfVRW3AaO7dhx6Jk3j2uQdP6y76tvXWQsM6l2/rQOZ3kiwsB+ah74wbpmTKSG8t2mQ0J7mPM
KUmFaVM+anZFjLZSeC15F3vXJnUtk0JWfdKlIAxIwhmZxNN6rtndUJX0W6GO/lJy30YWP+MP7167
hNfgoNu4t2bfiqsCvs59LH3zgNU8V2NDfeo82Bt6OhWrPuf2rQbnvEWGbOK6zbvhO/FoyAWChj0n
lIl7K2zCQqSOcb7FRlnX7B82wbu3M+FOCwNp9Mp3UOwuLLNzb/0iqQHCO3ayU7GH9KpCfpd1GK3H
bGJGV6zsgUvXYNS7qMEt0hBi+B5aOUaL5CbiJq/zBcO1qqP02izbYhMOJjl7zGOvm0qV9oVRHFNR
8jEBwnSQlYVcJg5PJ/I9YDXczDCTYdeFJ/e1TVzxUx/YrXr1jVj6LK4Sv42uYmsMNj22PuxxFDML
jQiQqziwNg1w6rIvamNpYUa4rdpiXPazXXyG0eRdz46fIyIje5sDd1h2vGFMxfW63gWcBvd9Gajs
4DzHB6PLbpuOvUcL2D0Gj0Wf9Djg9F7RbUyEq4DifXRl+ob+zRNdewR1pCQuumuX/L9dY+v9Ng4L
b5t5gXbZ1tG1ifvJoxbHzfU0hu2lH89fIt0cYNDAhHNxjtzKWVhEKpPHTAJNdl1qtX+TJl8d8mEI
/iXQMVARa230mfX8UPc6yiqX1OIwyJDT6WZ5LSdoGByLWDjY8huOjciiHQ49hPwgy1GIUj9n561z
dhw9c+FM6QLhwMwrLX9tsrZsys3MO9jQ/qFgs/Fc5Nwmb3JKx26XGZast8x9FgZTiWHRNl6MhixN
2cxi+kySWVHiZcrOKlGONjqaKvh8aBrqjMCtvprxtCvNKGMWi4AAhshQZYsyMz43GSlzQ2Xil+K0
esmoBcYE+QTdqhPZZKQgwmPh2MdpMBBEcPikNftf5gz+XcVgZ2BWFoc4aEd9Fh6G2DN7zL4zIqUO
MHsKTADsziQugXag7uwFoUvOSzPFobtw+yT7WVpwfUQUOPuRcQ58x8mrFWhp4eHYjOzrk+skCCbb
um1v8IYOFnUsO69jqBfE67YMawki0omewbNontxEJ38N6vmnITZHKI3CBnOlvodvUTpTf8hTbOdR
iXyTboeiWcVxTpiRSyywNwZ2qis2jv7Wwl1dqe81+HAOCRKaNKYt69QwF0XMwLpL3XZnVGRij5X/
nIRWsnYwnV4biodGVj2KktYYyXrAR3wB2K+vcml02hKR9nzFcg2+B3iadYtENBrTGEQscappe+w1
dXfjBBn7m7TZvmVAdULDRvLRIL3UWpXc8C5hOMjYcrJ+Z8JivivyVUGMj5dlK6L1uy6wHCOMLVB4
78Iskwfc17OXwqx4gkM7NAgQUYOPa8ISeGxhLNorHDHpnshfuy4FZRW8vWcOrvzgGmBUk0GrQ9QV
fNR06qyjNGCt5nVcM8poPHS6FYMSgiEtPOhZg+ZIp7SWWLh+MqUun00bs7eFx//YkrXk3ELWY7v1
pzF90KOIdE+1B+bEebrLYVbuox9X5ieo7U1hjvcdBHFd9yzgTXFKtX9VmJMcHsiu0dMdgDV7rzH0
l23QoYxya2qmljL7ajKJGcaOgBor8eriyOZnHVszgywkvN/1zedeRzQriosNYR3ACOxBtYGvfo8T
GAH7Ab+nzsQDbr/HOuF8GRzcA9Puzp848j9+Au8adT4GnU4ddyVlIHTOmoD4Y2UBEwZ0fxSkud/5
HNaUJnkenlLYi/3H1xN/9/Ux7mR+qMy1Tfeskc1rij1pJymbK+KfBTtmQQAJli4ruPXPOCp56wQb
jmubXMCb0xGMh4+wt6ExECorcCXxk9R6Luaq344NNc7Hv+9dn+2ZuCUaEF6V0x2qgrcvoMWD0y4j
Rqwe/fbW0oLiiHvE79bgO8SCqwBUGLbpkFrgnAMxXdT1vp0X0c6WVK52wK6RlzYCcqBhjESTAl0S
WXBXTGL7x49v0FAP+O0nr9KIFP7D+MeU570oblqyr9Mh3MlmCHxGyXCkNJI4nrKOuhSpqzVde5rl
PWDT85CQKobc1xrQNfYY3rZFHkZqsyMssUKCazKvKKnliH3ZUfxCSoAy9qPylWZT8xu6xtOv/y9e
/Tu8Wgg1dflAWhN9D6PgOX8DVf/6Q39ZiBr/QtzBIkc6gxWeZQO5/GUhqv9LohXwLAl4phP7hkLk
L699919ERCHOwC0CCfzJae4/UDXJUcpsii6TRUO81R9A1eJs6wNzEqYp4b5h9yilfm4ziRgPwm/a
iGPOAL7FggKTmXFXW4pbg/bLRnkRTllB2K3QBurNXO4hXYUIgklztZ5J6c0NARM1VrWJRdDOVEPp
T2V8DAzlOAQVjrWFzQY6kldP+m+w77M9FGcFfjABhHDODOD+81/uNh2OL/VcHyEjjXcizLWlRY10
MfUqm1ybaEs/viAnwdtFrIz/dIYO0gLXV8aGZ+eEFqVmqWF1T9iJd4G+UiPNuueo38YSSikiiEqr
dqLW4TcOlVeNy072jtyRj9T7GysIRbHH2o5ufu4JjV3ktg+IYbT2eOPmERz0AoPUm1DxDFJDtPNW
+nlxjBvh11Czc45skfi1TeYmflxLkmFgiAZDzrPW7H68wyCGpkvM1nObl0WDS4TLpTywgGBdO76q
+C0fsexga0ACNm+EyrZtum7jk+KF6REKlhqZSQVIx15fm5y9k9S8ej23pbiqXUCEpRNEJP9AOsLK
GEQFcXMoUwjuYWDcC2g1uAs5DffW1JAWtXAabwJ74GeMRuSOa9Myyq9GPyQzZAWjCq/HMOMXYWxq
7jllw/FzjSRqjuh4mWkacSiao1EwkbiaEyxZNrYz2eWjAYkhPLR1w/cXoJIGy3Ks/m6uc4gKJjnm
X0pX4LplGi1PLmrw/oT0XIzFvi6RBy17cs7mpW/DRKRw7/m3ZYdBz5rAKQqqca4gv2l6HIeKNAac
V9S54qbC2Y6Ig8ytZ0yw/IduouHoO2xBYGRgnrGqIvs2BOHBX6KpeEh4P/EWbMmo6zFEFVPu5Iw2
ec1zNLulFSlpaIRxFSoXi9Hnp2nGWn7ZG5YhjsQopOFhVq/EUQ/Hq6KE91eaxdGrNICNKG01AmT6
frgM8by61VwdkjnoFI4sMEJd6GakOK0bXBhgnyBnoLq3ncFZkXKcrtFyBKsULxrFZR6ne0bgLWb4
Ho1RFvswuWarQ4wRt9blNAX2g9Y74mroy/SG+Bzy00AmdgDH0l1GRu4850HSfylNTC0gyvHJhgPj
8x5fA3cZxqqgJkQDKxVjtC14jPgWPGj4MrW3Bh6B9srqHT6bvnZ4vENEIvA1zhSWucHqnZi3ZdZV
Jgatk3TD2aRllxq2LtnIu4tMioSXKZ668iv/mMUveP6Nd1Gmgy/Y2Iwvi4BvpIE30i1pW8U9ujRe
D+7qlU2M/MC7hYyYgmE6BRlyvcHiQgDNoiRVlgTdRsdU6REzsfGO8pGFoM0ODzgySsPeJvAvjhbq
CxJHxoZmu48BDGPfGEkcsapdp2IiLsy849E7RcdVQKhIoBKsNm+NtJDn4niKFNwRC35EHmzU98k8
a9qD1jlzddESqlPfTGQQIMigHh4+zzi7e58jqWfJnd/HkG6hmFcgkaa5n1GI94t5yniWNHQ8y1Ef
6AI8L+BBMIOqd37qovOT7CrhoayQJi5PH3Iyary4Al5+vbIJd4W0WEO4IQgEqimbeWHcR52Gaovp
U2g/jqnbGdexz7geEpsggc8xB4EdmAvQ7yqfAEzRgnjcOX5Qx0+1qCGyLqwOkYlJEkfypWaHECGy
nNmqrwsyvjGqHwON9BUnDbR6TcIQfxOM4/jQVFhzQX+pxVWMz8r4xe38KvlpOblhAABNVeCvM703
jOuM82euYMPARd37uYEVwoKwEF3fhwYRU0RuK3BdiwIdGdgMLyoK3Ksc79VHq+98MFTxyemDcVhi
aNd9RsinraFUhOiVy2ZpdkTDmynp16DiER4WUT8shCkmaxWSf7ADdrEH5H5xpUVg2PQ2G0n3nRN4
W07YqKX4G5Wlqz80WAEtzUx/0sBZSOOD1IRvfLuIwmF0dyIxgm9p4zs/x4BYdfTT+XWb2hdYS1bT
Oknr8dYunODJMvt8nXFIrSj7zDuGbvmTkGG2MXIdrMeZM4wcUP/feAEeSU6Z0Cwac5JeRmWQfjbi
hvwWvWk3s9bSf/fjuMTyBuuSbCiv+3TOLizghXUHA/KWbb18ir0u/NTL9GZw9DHe1lUjN9VEXrNO
3bntsT75FDR2+nnIZBNs6jZHNMABhudQNWO84iUbNKh4M1YD7q2pA3QS9WZxz6FTPuZWVoareG7y
jRvpxZfQxn1EcPQAstgW0XL4mI1XpT2auIL0BHyR7vMS1VgbkNEtd8YcB5sBpu+VFTSOXIW4/UxI
ASgHVsoTAzQ0K7ZuWk1qymUS2BiOxiawxG3sF+VWH8NuVXOPjxD9gH7QtNn7nHa4X0+Z011VrfQ/
eWVobzViAjcW3iZLLdZmdzNNtn2l4ZZxZMOednqeT/tBE95+xkoCI766XrbQspdVN8XwOBv7vo/6
+Yeup/GRlNH5WOe1l64+rlDOGhzqExcePt6rqIoNOmtVMr3qYydyD1tic+QBhidnmAPvMmLzpyOA
CK08ACQsAnOpZT3/rAPbjbuPf8C7ahIVOYiTyo6C+UO3+fYHVEVmunEKD3BsS8CUXIG6g8kpKDUA
YZQxxRE3vfo3Vz3rHrltByII5klKR+1grPf2qtKfQyccLO9Qwa37imSSnalsDYqcj+/urIk+XQcC
kU29ztOFdvH2Ohj02l3jBf5BgpKzqes1h4aiZ1ujz4715xdTM2cep4Cacu5XLthEtIAq9OCmjE4K
RaM9ERS0qPPWH1/qfSUNKgDDm2ZAx53qfJJf4UBYaqNuH0ycca5yeNdba4AFDwpUHBsH3O2Pr4cV
Md72AqcBtORnYIRwC/aNNLMOM7muD7/OQNxVObKsXM1Ummji8X58zfffCFM4i9vUsSc2LP3smkUu
K31MUVd0XVTvhgGC5SiG4vgPruII6Ho20286k7dfSEr2dO7jGn/AbqveTRGkWced/hAtUcvcoqF0
Cd8Gzng3W7db06gsjXs5MS/siPENROh/8JYsgi9wQKDbUXYIb+8lqRjNYtNhHQwfWjfuQLyTfsKI
YA2lQ1y15djPv2np3m8f7OksZm6L+Dcu+/aSeLz505Da8kBYlP0ooEAzG+0pRboUgCqHeW4s7GZm
8/r4tb1f2OQ6Q5kR3C0Bz+e36oG148ZoGajvWVx+wTbV2hBm5hiu/8eX+ptb5OOA2kQNDnvlfK9y
UNZyqcyAp6yYsYRpHeeG8SQZu2yYqoMb1Vfz8UX/7v5IWXAhtlnQMc5pYj3qCTP0bHFIbWgseQZl
IdXdcEuj89uFdkLRXiFdfJ0e6ARuNdLxHPf9SlMzT53lzKi0gdoci8zC3MbR0zvMVuurAkE/k4uJ
MnkcqOsYvE3NVV+h4Nwwv5I0FwXTQrQuPwSEYqrOOWf47iZ2mf7msbzf95A3mY7iS8FgEudUszyy
hgjZIl94BmZKiAdkeOVw1CxweeJTiz3K+o/fhHi/D0EyZFUpKBKe2zkOGKTgJT5HzEFzNWrd0TXp
H1o0ncSDCU4sPKTU9x5H4qrq0uorhPBZrMzIG++qxqjSbRV0s3LPRFvRonMK/3hvBo2GOQlPzeTd
nXDMVyWEjpsnRk+s+mx2Kbp1K34SAZPyJjVzwgIr/XcwzrtvE1KhWg1AOXyiiMPfrvkKx0yK/mk+
YCcknxu0ZISFVzmf6ajGGx8//r+7GLgRqXy2x1ZzfgpApfD0oPKmwxgw145z1P9o4uhyLL2kS/r4
Yu9eNXfmkrshdNxx2M7OypIs0UTZ+Pp0sH2LxpKIW74sFiJd4scXMs5EmFBh2S7V2Q2fkRP1vDBJ
zTAabYJpOcDrsLnR6eGIvXWbNvns48nYHMu4BwmRAXKacAiZuqWlY9ZgyeoYLKrxLowScAJtoFli
2IfEa3aYH+uaDZQF6mVu9FShHwNJ5/N2YFxy0+ZIrbM/3Yhtgow8xmSca5A/zyuRKMcNwsEh8GDM
zI8HphRHNGXRNtCnPy56uBTfgGQUAKT3biICw99o+xGhTa3bJuKVmPuvCnwaNUzvjli6/hY/VKfX
q40RzJ/90GDpMwSAgHz+lvI5M0VVW/JgV6P8adtGf6il7z2cABHbaUB1qjnFuHIcjd/sdMb5JyIV
SROyJqGLagzBGfB2mckUggE8F4y08bzIZmTqrp1g7YMEgmA20uDdb8hqE7nqC4a9V14AFSI36yDa
Ge0EkwIz2ulO7zJQxDlReE1VO6qu72r++aRXqTO7idG7i+jGaSct528aImvnwQdiTJwQcXlrxQ0z
fvV5pRqHwXZqa1EeekxCmwU6n/HGGkagscZneHtMAI7gT1R94KzcgBHwpaVrSb3CuTG7HUAbrmq7
1bCHjeybYhLavC2IRMYioMWJQncwSLgAltbzZeNYnYeZaV1etAmGcVDNyhkp8FTNNNBzdEBhKpbI
z6wOcagICbkn+juyWrBvvceUxJxjxapOBemWCHBFKn4MmH8CimuoUXGILRUYih1AeNNPI//sYFhZ
7O0CiBLKjueHO7tPaEryaubfzpXz7+ITL0OQFy9VdU1VstbCPLWwRsobLCAS3Clp3Kd69JJ94Grj
XTnOWXgDSygtLpKg6tvbBvJNtoLOw+ouRFYmd8UMnWRVd62oNowgx7tEh2oc2HaR3EECaH6MzF1n
EN7Ymn+SjdjJy7oSCooaUl4zQkv+ILduPVuoH+ZPhIxKZoNGLC96ZW0AooEDxSbCN3Dc2CVq4BU4
CMhVO4cA4W42YaQNeZC/kQwpH0bWYOZ7MiM77dNYRFy6SmZOLU9nbE8ydmo2xnU+9FZ7JyIND96E
zyW8oV1ELyomB8MB6Hty3/c1QQ6IMXptOZc5gk3bYAu35oAvKMeLE9alM0TOhcSNmxxeJJY4549k
nF4VdQqm5RJtOW/HlBZywbQclJGJ81jfi9yqU1SvFh9YHkKvvtKimrPhVAeA2fP1IR8FaghtpnAH
FCYIyn2AELcCbSvGF6+d/RvE4dBKTxCclXb8GDMcxb2MDes58sPQx9+xgZf9a1nZijKnK43X4OCA
9ZxjlFkDzk/iXowiZArKqViRYQaxYVnbFl9R5SotXJhaPFejUZi5GTfdN8jJA5GXEBNvfo1mCNp6
9i1TFRKBpLZzCweWp4gVElsDzy/KmPYHITcI/On4c+wOkDEEu3IuLId5xCLRozHGAzTRmyM8H5Zp
VmpMGtJJ8mAl9mvmJvaMILpt8oofInSwk02ZGs1dPotqfOpGx9SwAnGsJLlzC2/sLq0xFfd2HOdy
2WG+Nf10NSYZa/jihrydRAkKHE7Uxibrb3AyzmPGAFjMhqAFfCuSaQ60TNmazhcK84T4SNIcMTVY
pBg+4qvi+xAFlmzhFk6/dQNaP6WAkqgw89kFEYBtdsh0fQRqAyFvXQCyuevj4deJ/9856e/mpI6t
ZmH//5z0Lix+/PyfffPOhvDXH/z3rNQR/xL40kCjtD3bYP5Jwf6XDaFQwYlS9/6aef7fpNQgbFFQ
PSKVo/KxDUq+/0xKcSfVGbCayrfwD6akWDednd3UcYAj0uQ38LvoGd4enxWu0nXmeQUGmk2+iAmX
xpnAaKN1AHl5HRnW45D1/SXHWrTAWPoxDSxtrw/OlQHyn+DuHyplpMxuvT7Lb0iUfsCXAy5LmVas
NYkd6AwfdV8Lenk5ac4m5iBRMusrnJuhNI6CHWmon5kXXNpDesk0YOu3OKy0teUtu4EPmtBsXLDq
6AVj0OgqY3a8rJySoyyHjK5rLoC+ZRAtrc/HwtNvbEGagVcPzwUzk4WV1BDESVipWzinisiVmXCC
wX6uHHPcsrGW5DPnL16SXw6iv/NHhMgy6jaSbbOb5hsZT0c94L+qY20xhtEzRPtiVVTzd6tNDkxJ
v0N0e6ymZlOkoIIYOppf8AzbRbVrLwYd0lKBxT/5DHj2tOZj0qfPDifZRg+GO71OLtUTaDOI5zJJ
X+KSYW8TtPHGVJRRE9oqdkEYKzBzug/M4c7NR3tJRRTs69T7Pvg4r4pQ7jD/PyYd5OBZDYe0oeHB
YIyMi/TBCDtjOSYjQTPT3VDKx9BMDsGYPtdVDO3FunJCkyIeKuFackOKmlu0041MeVeT2aIhIHFI
k8lhlpB5xjYk7NqglTEKHhRmfWTisGUtMB4P15iOtcv/Ze+8luO20i38KucF4EIOt+hGRzazGHSD
oigJOW3EvZ/+fODYc2yOz6jmfnxhu0oim+wGNv6w1rdGbZ0yoBiNPkzdjO/fRoNRkS7ZUwyraXl9
rRZ9ckQ1cYtG7HYw5z1bpfOHxBZcz7n1GqTVRfrTKvlrjpFdCrBSJh/OgXMXjAKPkbBBUKJiVL/l
4JbbLLC0bdHzQlNGfkiKCOxKcGo2ksrMRgGeOssjwVSkydfzpk6BpaMge8N8HERsVt/9RjHxTjhs
U5FdF533Apzhm99ZN8FMFeVy6EpzOLA/FIdumR5V5xyyrB24UK1DUvEZkS6DpnSYhnAc1RlYXUpS
L58n8xnrFHhcCYsa0LnQlBNtoT/VifEeWPMQVguRCUNSkt0+PXZifLSX8mel52DkKbW2Y7U8WjFB
N0WGzhn1PoJzV0s3FKTZ5uN9N2r3msnTS9PVOZAX57plGLUb1q/j9wzTxeNStNyXzBPy4LKfwiPN
7sHUWIHEWkC0SyohDSBiZFDabMuFZYvsbKKGAthh3aqB7BpnOvZELx+XSdNuilSWUce856YmVIsM
q3KCnN31IMpK631AVSkn4V4ZPvFQXDVN1tlbgeYv3wYVgDfYF/NbDPNXC5PWLFedQVc/MVZ/qhbN
HbfKhuYPgIFdXxpf23XxVVjAAIqljJbUlSQvZ9t2kCICSpdSFWLmysNsEcnJb6Agu153XWrpbU22
TjRr9lOjGRhORseJptF5W2op3mt2p9yVeRoxOwp9T+ZhqwJ3V2Xop01JEIAxOAO6YS5/lZvvDY4w
IDQVyUaTDtHMNHaWh1SVn4JFp+IyRKakbxcsxje27o17YqzjUBbei6e516PZzeSNiJ/aLM7o1X5h
Cfo08MELFJje2vRx65MF+lkAluWuTYBV0RzwW5EMPna4OPzlOnO6i0Ld/581sx+vxlQJ+Q69Hsa8
T5MN0Mxj7QJcwXCMyrE2gK/TqYeuxYH+p4fp30hhPneW/F6W5fgeL4ZmiK3BX59OswcaMI/bhl6t
eAtWPvp6HOfGTMxOH/bNkf/TfzF0+Iyv/XhNH1MVVupg/e9fXzOx6iD1yYgCX+ukCPanR9K7yg30
y8O8qsbX35ck+TMqjV/pR621Wf1zJ/3x2gHzG0R8LG4/z4nbAsUD0b/1AdMhkoCm8qGOw37huDjn
TV7AyFreZzTOu2KeplM+9dy3QW2FIpXvqQvsr1bnMVknvNgWgtV+RBx8RDLSeXY5vukC2k1B9FbX
5JfaFbsKeclSJU+6k1Zbd7GvR8j/m5WHunccdk4Jo/oNAgX5i2ncp3nVegkxGoPCg3VdJ8f10wdr
lhk8MtOuD6nJSrnRb3F63VYKceq/v4A+2v/P76htYOr3GCFxKX2avCNg8Rf+kGs1KFk00VlJI7Mj
EgIsZEpBjse/QKOLr4wgCfp7vWI1zDPUVsnPbuJcXkuVfI1oM8zlDBwjRhQzPrIvvbbEtE99jnun
hZWSJCxTu8VcXhIH4XfF7jVaMpmdR9Cz93WxPC2rw2Y0M/s0ALGMyE5YxzHZzzhzWGMWqKLF4jd7
RAs/40Y9+WQDqgGfDm6kQyqdQ5rWGWkSCmdKu5wLgpyIUFG3nly34CbfO/C1r8Ip5MYzfilk/ZsT
BnEnYhAowN6/bhIYhDSdrVn1Qc2ARyknFk42lv7ITWbrF7PkT/PFj4vD+VigEbnJSnL98z+NaoUp
2fwQF3Zwiune7vEANb86MD/upE/XBUG+6JTXf7Mg/PQaWdoVwEf0+tAEU7vrs8XcsG59X096CG1y
P0ATLkwkbpp5PcdBGnl1edKW+LnP82++O5EoV00CWUhuHei3eMgGnE6trC6GkfzEo2FFHoqKQ2m5
CrMF7gyAxf1VmbnR5LdffEx5bHwAgNoykxuGI4gDkKhtUNe1O1MgTbeCztyPmJdC3cx+sv0vQrRS
l2kpToWTSJwvOQWqwW7fMUiNQUi7mfThvqnNNLIt9asF4N/csXwWrGsZ86FP/Dz0BZY/kLhAhJNR
0ihMKW1pNuAphBPH7ww9P8wot7al9K8rx203cS/0UBnVzZBzLcdFHREhMu7mGD//4BoNoYn6C3Ev
1pbNJs355F7Ho+du0PZfp4GZb5leaBvUSs3Wy+WTbs7vimCezMseFovqMOj4hQWkZEhCT5JCDI53
2u6tct4H7XyfOO4YEujuhnbLwQcgikhRjVwIkIrB3sSSE7R4Uv79afM3NwnPjPUfA9a8+ZnEMSdk
6QzzBHHUr7eUOAt+J34cWyf/oU1+8YmQsP2vTwufpzDHmmGsSdifDtHOtqSFFKM+CLOvI8PtsZ3G
+SnmSRUYfD6AjwpGOTRIk8kxledUgEl5cQsKwJFFZNjUQUt05NRFgauqkAhDguSk/60vjCtt8m/K
oOo3aUC1v9SNtbVaCJ+5AkIoz3h5eBhzmSVW8UbKFlUqLrBc6ZduJN5zafAXZkM0gZDcDXykH+2l
shdry3LK3BA6dnK1ga9omfO08TiEpRpSDD1MqNYmKAb2sp2Hojlhk3vMBhpJv8DaqvAPAaecHwWD
brRzoMWs6RFl1S0SpdNHOqvhjdusLuR2/R8NsiiQ7PWCbMdpZ9g4hdbbqF8cMkvmR/KjaCAcnJ2+
iwmv7KiW9Di/LB0AT6/lbwvNeelyh1tsiLurwFnexTBs53Gdy5TZJbOwBZKlxSOjtF/ydLrHCe6S
AugcEF2etCk/fRiJBZKlcBjKE03xvop5smTQMwGTqid3Hi6l4XxNe8zxheFcQ3XaWqaQKG1mwJds
qWccp2efyr4c7BdTYMf7xZX7N7c3tY6DUcFhaYXY5q9nLjK8nJGVUx16T77X/XTf6zz3JtqsGGPT
dq2/PlrtZgiwPQdUeh/3fJ0OOzmTntblfFlH2mYx1HkUAFj2J2F5OHkTBn6mX0eMy+ShXM1LE4N6
HHl2FnWrrQk1dXBpRQAuKeG5yLwVyw9nObQo69rUOGPyQT4R57G6Nq2WoElIFksyQKzyqawTGkOe
h6nV8IEklNlePj4OEyeoMId74dOSBmN5mcbx3nZGAFAEYEbESlmkxagzcT+PeVz524pBe+g08p09
PNCwdrj36A4OReZeTzxEaDLHR4tx5FrND94fz9f/Tth+NWFbvWN/ulb/lZyTYXhj2fJXJ8LHF/3h
RAh+w28VIJZeXQhc2H/YEJzfKB+wGqxWgn+O1fTf8Kit+RBYIjk81xf/faxmub8hfTIhzhgUOaw4
7f9ktOZYnxQRPCc9cxUmUHSidcKF99dbShguQIEuQe3s6EsXYrt0OYVthLQybF17etUZGyBOdpr7
rJX1NWmhGJh8RL6bOhjzyPAy/SEfCiUjYS7FDeHEOfATDfVl4In9EmTWCRMxMXxTBqnc8dm5A6YO
bPBUiMpBNDjpeSrn5kpPGD+GjVleYQUsbr3G8veVHqT72Iu9PYMne6Cw1ABegWndqywVx4LF7GXs
iY1U8GQ0lKLstIBHglYlB2L+ShCgJKMYKezGguiLP5zhCOjm+J46Eethps3LcSSpr1DNm1eU/kUV
hJmuJe4Q8ReQ2k/usivixb2Z48Vnz+QGpb5ZmbTH1Xt5KISpvc+N6H56bYZDO6/9I+QL8SNZzLiD
ZNoat1najhjvLUGZaM+nvPB0FktFLknnyM0fud7om9xBmwzzzmKMheT7mhDq5Ny3SnuvXeAcIZ5a
ViOqq48y616mYOkgea0yaGr7L2k7DA9BMMCxJO1DfFv15S9CKwpmk45NPixW0TFUdcAT1a8Rn7BC
DE1S646pExQeJ58h3jpGnuPGtOdnlywo3uS6/Eb833AIVDbwSMqyd6WP5VWmixtNJc6pEEN7ErFS
Z3Inpk3teP3OI1PCZNKRSY5BOZqCzzMpXoKMQgghfzfy3Sqt35m9VZ6l4ZHP21Quv+gS5CFOi/HK
yBwN8rWe7jGglo8ox9LnYshIhJ7r1jJDSdtHKqeTG1u0IzqDDjLWEBRz7R07YY+X0Q5UD8VTt8CN
GDg/UrXKMBOp95u5J16rVBaEA9T2888sN0exaZdVXFGXLKjaPK1vM3Tyod1J7yoRDdG1SuJ5Fn51
acF9XJkaGzciJmcglAz3PMl53CZP0EMo44Ixsb91y2xD0UOCvPdKhkegSKqDaokj3+JHIWjdr41r
VMLBXRLLdDMTwg3uHGyknLaucK4J9pze4dwWR301icy5pqXbqR/JlajT5azU4BICHwz1l6DJ4xdS
JBLtFHdmxyOt9ozvHQPdMUzJR7if4C/G0SQL43UIyrjeJHU33hlj3X0VrD03FKHGW0E01IQbe5D3
Papj/wAxeSZrxmfgnpmyh8ptLXZIWhs2uDE2rCdr0tNzh/fkG3BwHQYeK6Jk4wlVHhhT+19zUoku
hbNI/cj6NHhUU0ExLHMvXkmr5VRu26RvSFeoqzeWfMEXkeEt1+d267bCAqPhyh9OKyRUKMNo6ij2
4/olT8be2JSC8BY+rFq8Dh4p3yHk9fbox4wgK20aK/K6neBqDQJg9ibuEPUENi0J9zMYjQ7TtbAj
nw00rnKel2oa++1it9nWToMR7sMAwa8xvJOj9/g7rDT3eR/sfN+MIyca8z1vQ/6Cvp+g0d6bGPT3
TaYXy1YLhtjG4yv0V7NImX3aHKYTTBCCFuoqy/dAMMpjIkm5YLLBppuk+/W5n9m8sV6VP0N96Iiv
YPo+c5jF4zFOYMZD8Jzbr5Mn0fPaSEoO2N8ZVTq67G/sXmjvjeMBreiNfLqVHVGTeUFhAgQqD0BZ
EGm20whm+YoZf/7Rlen8Ku3auFh9BkMC47NPXKnDaHATxFZ3k8ogLraARBmypHOMdF+jCDb09iEp
+pbKNpjPwhUZfpKi27q1d7JbSTxPXZd3AST47ZRk8TEvODYbw+72i149JrUz7ntBwsMKcJ0wJqEe
x6Eg6w1TWzfq9EV9V7gHqmgyiHZorBFiT5NOeIN0P79ZdAAa49kuSYYfNraY2+wZYnfJ4Mtj4qq/
+LJwCzNMhWUMA0hI2ec38RJroRnk7o2R495QRinuXYJo7l3DS245Fhd0oYU6Tsn85Nh1fd+hJLof
jT42Q0Lm46cZBTegeeEzfPXq+bSGDTz5MD44pGZuKx/v95rzXd3Shna7PiFrdsgKG+EGvUgzERiU
OyLh2OZpt1kqmTFbDcZd53tdDuu4qq7zQOfHdQttZxBazBvD8opbPTDt0BC9e4U5yL1R0GsvpLfR
CgmGtw+2L9xjnhXzI+5ZNuDpFKc/LKVJBtzJWJHU2DXILmR8HYD5f1Bc48eEX/y9zToAB1I4e/yG
YJ7jTn0lunwB1NBp6pAYpdzltjTDxRjGqBuIMSkGh/NozAx1NgflHdMsbSCU5LdYYDF0dKZ1Ezdl
b3PIFpBGVXxs3Ny8iKVJGtjE9gp5GIntxrOzX9/PR9GsaYW5EgeOC28P9pEJPYE/VmSas3NXBir9
Hg9Ym7JFwyQtugWbo6MPJEgoT96ZhaBLlUFwnIyxfxJxAwXbcKYD95MrQ8RKgpGTF1R8RHBjaSml
vh3IU4TJwZTibrb0KqOTsci6YYBEwkEG3LcrbWJvq/iivGA59jwY2Qqa8zVY2He9yYJ39nRmEzq9
072QjZR+1VlnkYajtXu0ZBrs2ImjhstvXWHYJWl+bDe9XTblxS1ZR/PX1vNm2g3DfTWbzL8xZc2d
l66HJhpvM9ureYakI4RpNg+1DF5wdOGqmVI/bXFPdKOx0WufHGLsIcFrpsXFA8Kqvrt1RZ/1B8vD
jxYq1y3IcMiNTr8yXZC3+zYwar3Ddpdm8GwB0RhXjankg+iS7RJY8LGt1PV2beB6mxQLUExTMt8p
w2zy80BAfAUrWEsZnVlO9mYySIITbBa6E4kZZCy+LQKvlMsUaVmmYd8kkJPGE5esScfsTTUWx7cu
Vq+UvctzUWj1ez4t5lMwjN6j0SXtCXvcY1d7MgJjWh29rm833gjpwmuWe7dUrxyAP4HEvuWD++qN
8/gNFwMVhE0AT9g746sX0PW4nl/ektAVzXalXfHhIDMBknisEfv8tJTD+Gtou6IIYYD4uF7GDMRA
I4c7y5mZP4KPTbuQli5JHn2XAXSlTCJFFfUOwO3ZqbR/jHn/2z39onsCKbC2Ff+/PuH5Rz/8z1OG
nK3O3v7cQv3+lX8IFDwiD1mSrVJxLCC2xTf9vYvyzd9QeNIMQXpc+aFrg/WHmZteCnEmbFF27paP
g+T/einvN5YnuNDQBtJTBVjA/wOZAgjez6MuOIVIfBz2IugoYUD+tZdKpI2KK8es1uNeOlPmOYzv
zbY/W7Kyt/QvSPaK0TLue0MLsQshQ8qWbFvqxnwoUqHlEelf3k7gInoIfP4OgUnBE7VLuU8R8oUW
5hNYHIvT7Ua3GgpG3KlzZHHviR2sxBhXsmbPVKG+UzqhXTgubCEaIKetlkMX26faL0ZiX2UCzYnc
jS9G3QcxcOm1AnDzl2Cen3gaMXOzSQr8ooZJbfiVJMeZxllq5+NdMjcGGeE1cKql7iEkxBq1v9Li
7t6RXUb+tTLardC9ad822l0Wt3lPdAC4aWF1zUXNsg6X3tKflRATIWS6fIxbae2k6NNbM+jZcgZq
/c3LuuiJpnKzbYbwD+vxejuns6wektRxduaamZH3/DEPYOMcGNmXpmicMPGH6eLbcudP5bDROiCD
ydRMnBqZPTwU5Nbcxo1h3cVMl5awcYVt7Boibji7fU1tgzHG+eZNdmS2kxG6siu3/MwFz+zB3kCN
qBglex6WU+t5LOCxGll65fHg3BtjSrKbmgbWsrpdbr0pZVjvzDa1aqLsq0ET6yCtdgf2W2oI44rO
aq6HLzbMILa6mTIiDQvsht2hVQFVqx0+D2e8Uj6csVx/pVdxtiO/SwSt6imuiSgPZvFFFtIGOK7X
X8WcyxMIJS+spJ9uWbFECdvhbZknyT055haaUK8pL35esXiuU6ZbQVmlXkj0i4scr3dvC4v2Wku9
6TUWsXknWcARfOIuV1K1PwYSeXjOSuVGcZcltwpM4mkJSrhFrrVhT7lclUxtEWq6YJtrLb5jVfBC
nV9vnMErjmQ5xcl5HvRyuluQ4nVvIkl6HqjdSCM2GXdu1ZIxnnTWQ0Ho31Zz6vHK6fsOzP1U8ZbN
bSUuo6l/nRd7vNZQBkTmrP+w6+orE+ym31RO3R0xD4wI0yz9RkIi6rfk+vgkoKfjowIesEGKXUYu
rSVT2mocq4NOple+i5EXlpuynuevKYnU+taQY0ZIgQarKSxyYRDZQMCR4w3ojZg86new/xBS6Kl+
1XbAbTYL84C7qTVvZ8d4VX3wqouRFGArwP2vwzAN3Kwld9pLO7FnI2ru9cR0n0lif0zi9oduEuwV
5mhjI8F24+CUIGNv0pJGklJk1Xu4JttBzg6+A+Y3q0+v+y47Y1GbsVLVVc/FbKcwDxJAZ5c+6FWy
92PEBkj+2tcq09rxXgzS40eiedTG+Jb8u4Yqq2gvcrKmbb9OOkY92EvbSo9MRKbuDpSfTykQGxVF
E1ZKQj6QG+Lph/SEWLVxLvDZ48hbQ8DSKjairh1mhA2atjVa13+2RSUd8iLPNXpLeGh9ui/8MoGc
BW7QWQPHgjV6DIYCiEX8YS8Yz8lwzLv57BMFZ9eIgNuPEDN/zTODBejcpU1VRO2aduaipd/A2rI3
OW4pWh9S0ejT2v3EOm4zGVVyQdk68w7kSj12a6SaM/jisuiD9kTmUTqW7D2LZFsR3FYy6W78iHTs
Crrh2ZULWYyLu20ILCf+g1A3Z413Kx29uZBo32UkRmsLIv6mIwvO+ciFK3AtcVKJ7g4kmPXIMgTI
vYs1LHWYQ29kq+Q+/siaC9bYOYWzN7QXbz47NigADoivZeEDoJrWxDo8aGJnrjF2i5quS5XIn6iP
CDyYPG9HPBcAdeKeUHAQhkcFTEPmpQEyTbc2tuTP0UBWuG7JIxBXWTl+XddWu3kopwNpSbRjZdww
Sh7aeXY3ZLYO7+ZHPJ9nk9RHCnywmxLjIfFc/2CteX6ZvorLaj/flx5A1JQqvsdSzTow8KPaQy9l
rMmApqj1oy5RecdBkR7d2V4iyjT97A6EZfHE9neEuZpXI+bEM7npWbSY5X0Mt2Tj9Ym3n9ugJ5Bn
ldFlcmxo7n2bgDDOXmRv5TawzO7YsTZiW0mg3lZfrFtBPJvWLKbcONyil3TNSczQB2+KklUJcq5g
65iZcZJrsuI8duelqrpIV0v/3WnEwkixnaOc/NQrRnQJwlRyGoUKvjGSr46JI753QYIdu5i/QQ4b
I92Q5DyOPG4MQfId/J8DJBSLjZ1/PRGfMvS1dW1VJjv5cXLuUKpVO6H114nM78c1X3JO81ukTv4J
nZjJ3VheJ16ldotbIHxfsoSIQHJi3J2jeoHcLkiIOZvGYSPWZEuirWQ4j7yv992YJe5JsXUYL7LX
kyYyeXIK1NWLhadJtySBKjZKNj1ya1/pEWreVj0QzxtoL3NvLnKbgepXrLpY32NFq1lwAvEsSzvy
BsOQB4IpHhxPuPlWTYpSpmcEez0VhuCycgzW+UDmmlAHvvFDNsaC6x1v1I3ZmIyrWiCzz1Y7Ls9V
oy8nb8iN84iyfs+QggDeqYKui8C8mE66W8wc/WXNezClw0FWuoqQxENVLzT3Tebo5JiN56dJD0ZY
06ZX3ftqZN+uV+QrWk7EfH1G9uYn3ztQdPt+mJ3bXvrdbvY79E+CJjCsao5XnPi8Qcgkll2qJ8mT
LeOWvW01AA4uWPkw51olkcqetjoSOpL70EOHPN3YBjd2a51FO1Yp5F+BlD80JdmYIU8ufef0PNtC
n1DTHL8DAErs/ulJ9kadbJXfT+NRT+V4LtNCO2pd51L4xSvqlrVpcGM4GhSsZlBdtiscLDCNHyix
Ta3RRY7f6a+9A4llu+R6fuengsFvkDOeC1zggQTzOHumOcsO1597WBkuE5GUCzkvuhQeIRRCDs8l
u+Bt3AfGVZWv4muUhJL0oczeub2zt+j2uzBTwyhDUmAtvj6LN31jTYeEATkwlqxPImvRqmtbrjhp
KqAOMAga4qMNDeOZvLJ8k7R6nG6S0fIJE2LKxESjAJuasYZ84fBWwGd6F+mr8c32aMkkIQGkUlJv
sXModLkghi2QIg5jLoHDOuZmQHxALJqbot7reuJd3CIdI9ROl9aZ210wV8PVPHrO0U19pmw1Rtq7
vgTzGvVOXTIqdUUU8KGd/LHvyLyH7PUdn036NaDm/mJK1zvHNhFomwxk0VWvU5pt48RIggv6S6iO
0nsZKqt/RvsOnSxx7B2z9QSrr6MfEX8osUFk4b5CPiEnhlQe2KUsWHiWmMGlzKX8QQAL7DA4MG+c
p9kpg08QoVd0X6YJBShg28qLd1qXpR9RY2aYDJXYgaOwmEQ1VuS4M0G1BHBFxBgF+2Ahqs9ZpulM
PN18LYHu3mPJECF5LgvrA2ZgTdGmbyTiMnk0m8beGVkzuGFrtCgQWa1vqmYBLBsPHSKH1N2Zk+59
B86yXLV9pq59hJIPjINJ7eI8z9HXGv1jUOvlS2LoZbJ1JCm5cEDjE7oX/US+ZLfzuF7Pepe4d5Ya
5s2sQ9owlc4LKEcLkY61ERGzBrW/7kaOE48bSJyM8ouyqncw55w9dMj6uOjU4m1Qzo+YRaydpgv4
l11+kyUiRRBQTdc5W6wzhwQDqSrlZvEmNhQTJ59VMI9Mta6NCpLLEFEDENkUE5Pjpuq51wV4pjaj
RikrvaOAGsr3lEQuktWYhkZZN7o/J5r97261pP6mhbd9gWeyWLtZ2M3uo6n9b///i/4fxuQKPvv/
+//rH/P/nH6I/of8c/P/+5f90fxbvyFWcT2G1pzpARbnfzb/nvMbM33cvGxF9Q+zwT97f+M3i5ku
7jsH6aln2Qio/tij+oSYrLEC/An6UJKJ/pPenwijT70/kgQck6sYE4UCetNPMhezg1JlgRI6BBOB
QSBdrCGS2PiKMwQwqOq66KaHxOnjU6Nn6Xicsnq4S1siefdFzoNwQz9cUlgVAZSvmAddPAr06+2S
INoD8op1odf3XoGMMgk6COUMSSFfG6lFqxLHj4tJw+jW01vJdirhWz1OXew8oE1Rd70IHtlRgUur
28KmUShj8vkMHg/CIsdsnG1yjPzcZzDhQmEc2kF/CcAAIZvTMvO+rufi1ItpiJB6Zhusrj0UM0+L
mIQs12BR+62hGcZ9DCo9qsAr/exN0ehh21goEGjdxBE6E2sKeynaN2sCjKXmPgCyTtDuxxv14bwX
XvqNzx9nAHEFekjBJ44YI5S/9xHH0blV41EVub3xrJEv7B2KmK1J6DtS6iqogucpV12yqUtff/Gq
QV3cdgo2TI3UoWLLQHRKL44kPfDqhj/PYZ2TttVnQwD2irVDmDJ2YWqSZaSMzb2lDiL3x9Xel2iv
42g5D2y2qyoE+mtcCb8P9D2dXvkki9IjHCAZjRdBAAjpx4vOd6OzXm78ttR+qnQONovVIdVLl/S7
Vvao2lnH7z9+vn79qbiyBd0f/z6a5cCHUa/5gZ7L7mFHG1nv2WtM8ItJtoN1rUUsboYIIt2Yht6Q
mVeJz8osDceBNMcr/G1pCm3KKNTB7RH+0y0A99pbympAKsdKQ1GOVlHZzXES9gBwKp/G3ZAl5kuL
PcDdGa309T2XyhoZV3Et+G1xyse+3/LqqPn73snYdTnOA8i08klAfXtIWyFfujbtr/zaCh5zbOy7
FHmQu6U3s06sgZIzjpP0OZercQzm3Flr+bARCBbMkwcQ91PDL5nz5IgchVZs75A8FPKEWVvKgCfZ
krdMhutZ7ok9DfZlaVo/Z9fCoxiLqmrgFkE02SYmC5JdkOtDel2UDd8LYU27cxtAt0xkrIlPOJxE
4wFZZq91HxOXS97tXKCGKoiJHvT4UrlgGIExzv7eWKVEokytJ8ifxb7ycSYy/iamdLsMWeXvC0Pv
H4bGfiEFdbyqHP259hcJ3nnqZp5eo9JgO0F/qhJSV3F3u+6OFM+YSQAqZ9rP+pTEvg1ObfTFjVJl
c9sjc7vrNYt+Tcrq1sls4zQSB4u4t0uiCjDiQXnuQL1vq1Nqd0UZFuZsbebSsb4sqEpChwkQuHVB
2N7MVj+0AeYQpQ7hA6NpXOxqvNcksQ9rCBfQcBxMvbbvWqu/sCph6eaT/ltrlNGDk5gsI6ZhdUyS
jcrYsARv7muBfVXikxy386J7LxMr9kuMpvRdijz/UQ+w/iQfvWoDkvMwnFFFGw1kdZljet3ofM2b
QkRKkEUOG/dA1Fv30AU66cXzZKTRmE4WORJFrb4sDg2Myrv0erKIUFWUGODrHLk3Ow8kvEXiLOU7
1acWMZoyiMpDfLY10xrW9lg7xPJxUBggTGZ9O7muPM8o9e9SIGTPAb+/haVSLfmRGZjXb12VEP0Y
5+lGk+5qxpz9AufL6hAN9W5kZJR6DQ7muhUbUZrpI9huXW2WUhQbU1T5GSUhmwVsYMgfctOl3HJb
Er6DadnTcdRAwCvsTBRIiONMhCKdd830UXssipLDfzTJpQzmJbd4iXJgc+MrcYvXmaVKjVwemam6
YxvDqdQjlH/9OFmQCMc/qQ7R+zfcoRAoDeQk613UknnysLD9fBIz2jFXQ2jCTrqZODUkTxjRuPV+
STieGeeYNrfDbN6zUeOFhlQs29pkWwZikwjDWZ8npBazFtTXPO3ldS+KRm6bRgE5HGt1IX/R+Yd0
9L/l0q/KJQMF+78rly5NPbzVf1mUQHNav+b3WsnQbWyZ2AkoevQPB+Y/ayVEZb/pIGJ0wLbsRMjl
+b9FCQo1XeePTDYbju2uLoTfiyXbpo6yIegiRsNLAejrPymW7DUF7s8OEtSbMNipzFbbzMpT+qRr
b1VTmDHalxuvZVO5KbUKFzH0C2fjdG4hDx6Mzpp8+oQszJUzeUlMZNZllqTf+9hXTQhJntMT6Ga3
HFPVVXRKvee+K2EGEVmpDI3sqpVXTVeI8jlTdnfV9Er/nlvJwjE6FssY6hRAzBo1FtD7THObL94w
eOax7wI8K4uVifkiWreOUqz2qEzMkvmBdItLiyV/Y4wxjgqpXemjxHMK2DTZGHmtzG0nxdcJ4RNL
7ZQ42GnRJcIXIifw04xOKMGDYoGIUzOK59pJ1wY3u5TAGo5jOXoHTYwUKU2Vt6HI6uVu6rS9mY8m
I73geSZOfZ9q5QDSM2nWn0qq/Hlx2J5ao9VuR4iXKasQosCYBBnGdi5gUm/HpswXRgGWwCoGzZ4O
vsGmvW5tCmVwRK3jV12NKNXMzDnZuepv+3bO3fPaDb7zjuDbJJUhFo/KbdVxEHav2WdPJEsRraNx
OKDu0u6F36ZlZC7mfCEmtczski5LImOsd67yq4kMBDtNB+uQZ0sK9mTTF+00emc1LtD41MboUZAv
0ZwWIwrlMEgEQMCjURVGMJ3BsJEAhIEcBZ7/QWTwvHbbEh7xOpHNd9/3wG7LLtCW74ig2vxnkBv9
TxkjyUefW/dO9b/sndmW48a1bX/l/gA0EOjxCvZMZlvZVNYLRqqyhL6JQBfA15+JlMqnVDrXst79
Ig/bYpIEA4Ede681F4hJWtR75uMrOgNog/+5ncAYEjEdjpcpYZdF+w8Lw1cFrYy5HPJT5uBb2qmy
uEeHpHZmRhUbp8V0283lyPQuI8Gk1EWznXFFAcIV4hzkRbNLeCzslywrDkWT3oqs1Q+9NzjkwRul
hQtUpTUq7h4nYICKiaqEq72x8iA+mqAD+11pz+6p4tCwZxzdvTVWW361einsfVh0HvE5ckmjPoiD
krZBrhgz0t0hGpVSybHxaOZIjsTRqYcvae5w9F8ax70zuILu2shKviTKMa/I5Kn2JF8Zh9F26q3P
212Xnt0eeITo+5oGwCGdaEjfOiJmqCQDKonCMosrS6BgjiYLAThgqPo0kkF+k5F7gn6kL50LdJDl
jGgFa0VuzttiYJDPSWMfEJO7H8rkxkvRcG4Hx7vgMQPPq4v4CxKKcE89yeAwt51dIamMBuG3T1BL
btzad+/XlX0bi85k5mcTcCXF9ZKjv0Pj0G8Cu3VhWLZIDh27NX9rxGzeNm6RfE6YrV0p6YAIpQ47
dqVHYnHmJYc8H4sDvDjMwXLNLSJ959B6KvyUOIYbMUu2LmTAPi+WeVsjPN/4RuxdmIu4F+Q0iBTz
bnpxJRHXUV7o6aIz23qt3FnrCEt2k0RTadoPHt6HHXNW+zfDD5hX9FyNfUHb9kSa0leYTOFGZTEx
OsYwy3B1mDifWnvS6cbyx+arE8zJo5s72AjI0XF/7SsCJWoqcP5Ga5xAykI0tVskucNYEmHiNedC
S8Yi9GZ3QGr13q6T4KhdbHdTSxERDeTO7anr6GD6Q59diZDRGM/7YlNyfR47Le9Z1s1DYM2XcEJU
6xZxiPE+bQk2saV/DpQBHpQA1+Bde3V6F5ZBRrhiU78jBQ6ZZqMUYaZo0vKZGwf7gylOsZc/0N4K
TjNSr23B6v4kDLLhIqyRFrEDdryZ+uUpMJF1ztpN/Mj3JZE88LqiZjDtL02ZkL2VDsZWT4LhILxE
99UNphD+Sbs8NOiMqajV9FKkGH9cO2+urZKmbjT6+quh63E3Wnb/W1JMxoYjxbJryrSDXmPZny3Q
QLeLQL076mC5m2u32Ysy6e8spdorMovMT74gAGtDoFYh901DN7RrpPkWtAMdej00D2TtkbA2T6kN
cXkwIkf0yW96ScxjPdb+q42AytguLK3dwpazSckV8CJmktO2btj5gwmVqB+M3rUlaTFyR9p7JxHW
U4Kv/SqY3PTchKq9kyIdt7000c3NYTp/y2bVf3LHhHaA5NC37cy5RBQmumoTaxjLQozWaVHzPGyg
vXxjzGPvhG5CRH9Wc81xKscwKtUFaPR0z1xnN8xFeC1Hy82oELM0JgPcKK5TU8gtZ4/8S9mNhKR3
ZXvtt8H8yZwE01GaieGDE2qU1UGvT42OM3oMsUN6dpqZt2psi5eKSL6XJKjVXT2UMcnmMZZDDcM2
nYLlSShn3qVmkx9mNc67mFFNZHo1/F+Hb9tsUMGZ/akuF2rQxB+eIFWYc5Q5Xb01MhdIrYuDGjmq
eSc7P8HThhz0XGOppudZTPOVi9S6oBVNkHjQODbXsZ8+M3hzmazgh5x1NabMEOPlLDLhfcWPZxqb
Jq6zO0CS08bLzfBlXtyOWfHCgz6o0UFHXdJley8rvAtjuPYx9keVRIarvCLiQJc522DSl0E2iokX
9qf/sk44Fmb9/HfFscVE+98VxzffflVvXfHn6vj3F/1RHYfuL4TeOM6PwQ9/yIg+CmdgiKYXfO8x
flcR2RTHcOTQD31wFVdtz/fi2PwnxbD1c6yBiWCIWhO4CU8tVurao/zRSFrag4FiMx0vdrWEY4oF
ATEgq8h2sCvVF/DsztxWJ+ic6Tc2QGSfxaoAdVctaLeqQssqWNkdfPxrtapGLYV+VH9ISftVVWp9
CEwtWxl7eFvDZ2fVn6oPKeq4qlLDPshurFWpWnyIVmGDWbsW/OPGnV37pl/VrSCX5N4cgwr5rFnf
9asKNvwQxBJIUDyreZrOK2V4iPSqnTUZMT8PZmpA1gqa8KFMg+oBp9Ozt+pumeagwF21uJ50lwck
vuphZW7vaT4geo17vcOv25+LlqoQDnqxGT2hd07KcDrKClk+Dlmu33y/kgTGNXESOQumJ8lT/A74
Z/oiq2KAS9Hk7dZORmsfpj7VnyvTB1d7+W40HRRBhlnri+LMewlk91ThdSCvC8IxBQQV5ca02+Wx
xjy6MYX+tdBadRHsADYBY8wuMquxudSt230hGoISQPIbPpVFXt0E05jujT5dzqpacVcpNf+2HAN/
RT6R/gbMIlulTvnRKJPbqcjzvZ9r4s9Tl+khcNajOTWUEynyl9oQBOIIiBZRD33+EzvjsC/Q1G96
VM+3ARGJx9mS9bUvzenChjgfAfXYb7ljN+c8FP0ncn9KzTZoFDukaNjRVMrcrmJLugYXZe6l8I0t
pOj6npRD+1M/O/0rlNbyt9nqzEdrHLKtxwHotupc48ZGlJEgyf3MtWLmJnUdsuUG1WdbZdgWg7be
1uzVu6ku4BSa9CAMW2kMCV13K/oWZJvuNaiRkVTFnIVDdoMRhl9tG///RiqBxNNYbIQ4mlHpzqG6
uF+1NviJQkk7PWbuX5nNuA/AZEYI+9+wjAZXH8hk/KftjaMgaAy1WVGKL4QOdInea0Gu726k+L20
i+Mcy6QNjjxCy295neR3ZsvYPSuS5bZw87bFBR0bYFbsoIripBNhJCev1GjC3OGqzjyf/StNzxnn
yojwgHy7Uq8+Z6IyX5TO9cULCybtTjdcw+zBRtK0crxXRrK8ypLDSmSUuAAZrCePIfq820A6+Ava
5DCOPsYTs+sxFXA2LFy7J4xtXApKJFH7eEwk/aiUZIYtPV2/QORMgy7KAo+HdJ7HJysUtMtnHs4R
U29nQaImOeUyl66e2UZa6ppyOdbMk3f0j9wdgiDz2k9FDdRmbJHf4pHYAWiQt1VSJbcqdaytJz37
S4kdBROtofRLF6fE1GmUQJ9QHNvJhr6RQXNOpEfqy+o8LAiFo8qgx7gZDemOe7rzJmEFtIw2yLmK
6sYoguTZF7UkSdZrYga8UsbsJFm7bJeqeS+JNF5r1Epf24tf8ZQv3KzY5vNoPCdjB54mF24Y0zJI
NFxWkaNgz4ni3GsEyYiFglbfWwgqXxRwjIGpNLN6uS+9BnfbtaDrrmnlYYYd4NBTmSQIm5Jp9nB2
aZNMtE/oHhkNPyHJwFvZr6axY0MDO6vPS2t1xrLpkc/pduuMVjF9UrlOgq9OwnmxJue3NCf3qcJo
L/1d0MKI3hvD0OfvM20OURwCfiLFg4tB2X+bZH9XB9imzQTw380Ux7f3P1cBv7/ke49M0CNjIIgF
nopi1Qz/b49sBX18f+4DODNB6vuc0zCwI0v613Pfdvm/XC9gQdJGC4CE/JM6QFg/YVXoiPnr21jA
ZOCv/YW+mvaOHmvV2td+3PnPM0M5TkvCwAOxlOZ2Rq8pt7ptzkigpYgaIUdUTEm3m7ygPAxWJy9A
zQbrs5suBa7xUmHR0pzsN1Yr2TYGiuxnph/j574gOLNPZvaTdrbYj8eAx2Hb5/1We2lNJPA0i4fB
7prXeozH20WFscaJVK/n/0UhE5KxmvZZ5RRHX+WgJlVBqLCPGejggeNsojblgcbcEq4hQb22vnPm
GflZqoMpOYaOWIYtYSzkYQ8lmZPlXBTvEmonA393rKKJfJnbOOacFZEwwnev2gpbOuk6hX9qZuXQ
WhEwJw7cq/y/9hrrcYZWPt/J1JXzidwazOBVNWvjHPABAZgw9AInKqvKvrcC+v+hkycPS16Mt7Kc
oDJCRNiiJqS4j7sGn+ik/GOFBllucqdZEiwpvaYRPxScOByl+xbhgfVEClzvL+12Isu8l8dYuNmA
a95KbP8QsN0le18BfIO3xPSzNjcFk6Ebm4CQWmw4AhonpxMNMqA2kam3AY8U1DXqSuA2JZttWzqd
/YAui2c2vdSWoOssHjXUr9EJCV4pMxUyY01UtWfbC5JoQDJP+ByBn3lMn2Q29pzKBZm0bgeznos5
jH6P0sUYmZJJk6Tno9lNIr6yVFrGW+l047pw/OXIRMRd9gaybUSXFcS78dz3KCvNGzFXeW+rSHXd
OLHhkq0+deJzQkPTWl7ZXOdavfeT7JmUusTplPH9fze8/+jgQyuCben/v+HdplnzJ/nE7y/4Y7sL
zF9WtrNpopFwP5iM/9ruAueXgI1NuHjNv++E33c/8Uvok9iIrpidieA79qz/1U+sJxbsDtDbeTnT
gn/gnRA/WycILBGoNKCCIRSHPvbTISieiCJPa9c90TCHq2jlS/GQrlEmHJjGDf0ixnVoFfYtwOO9
AJhMMEcPHbsz9ZNbB+2r4+XdC23B7iXRzAV/uJL/AeGLT2eZfH0+IGMVWDx/PqKFjGbB2obOKR+d
5s1NHQ4bZlpfalcz8JesenAu5rjp2gZ9xb9/bw6Zf56WEP/AmEQ4cAMwsXgftpcfD4jcWmXrDZnE
Ehp/rmRsM68dsvB6TWb1cMy6/gUDDko2exW1aSfMnkSusi96qZd3/0P9hvLYPiclT4uCiLQDkU7o
5JRsvHv/Qz2nVyFdvErqRGsTbWm2TrQokDQ5UfMrnbmrblOMDdSJgj6+GUjMqkwH/C0UQaq0YECD
Fdm9p4H3e9YrrZ6CkUyeRksXNFf+KgBUDWmuzGVrDBerPtDoV60gLa4wxX+KhBBBovliKGXsaLs+
DiBFoHEuEvmd77X1DQLYZGekqyJRreLE2ajiTcF5Ico/tIuLP40AOyCRbdq0TjH4onKsPwSPxqp9
JJ4wxl+NHjKY4vUgaTITRr66Sib5AbwjU+95P6WA/nSIzIFo5KmjD2XJh3Aw8nuzyzKxxZ9gvpaN
iTK89k21DVId7qaBA9B+tDWG2oxb6QGhYcIA/kPquThp/yiGJt3VvT8NJ/KHkNMxje8fNEN/EIn2
RA8684S5r/BSBlEd9wUaXgBFApFNsthXtVbmFCVJBlcGe/EKDVpVqm1uOEcXwRpZy46nosl1P/ug
2TA3evVdUSuNN1XSEh8oCnDPrUrYxNRwPfNc4TNiwj+XlnFA5o94NrUgtpkZ/YBx3HKnhifKlOph
sfAH4IhDgrusYtwAN8dbip/5uKxS3bBsEe1mOOX3vdUnCxFuVNAbHlIane8q+UU3I+ijBvqMqSl+
hnkwHIMpndoVUpx+cyZzvBUfAuKs9qtvyKuKhsQsgGHSzeoqChk3ZNH8oUFGXY8emXvvU5oYuX0z
FNngcmqLeUp9Qomc6TaSft2Mm9iOUQPlOq5FFHDwfa/zNM44R6v8YJlI/vCeViKC30n3L4JpPZrX
jLpU9jZmqMGPYT061m3XgdhahmWN7LDz8bOHQpuQS/qnb4th9wM690Er7gpp9F9JEs7LrQp7ie4f
SUi26wdVG7smDubrcRb1vAFY06MfH40l+zTbzTwf0YmscQFxDW69qVWVgA9Pk/aLg7sHYQe1TL0m
NNaKg0phHpE4pTwK+vqiUgLmttK0m7eugWku1IzriySh5jSTkPTA7G7dDFO+f7Fk9W2+DABxByD7
nI5D3k2t321OUYlBcRDTTqJO6/AXON1Ln3k5J1PiRY2dTqgIZIOCCtx1+0oeX/M60ThCguyO7biF
qmUHO8Qh2ogGUw+/mrkazGtI1655Aw4RpHxrtc2b6sqQnG+jROOwbuUh35z5J8PNHfylVThl9OON
zqzluexIZ0THOdkLMxkdQ+yGw0Cc8/zmDgMJn+dgzEz+o0ggirKOZpE4xL2JZRo/1zhJsg7pmlu/
wQPB9DsrQhgatXg3shN8YkxUjYEXoM/y9WDbwve2ytu5TglR9ZrMAtoocn2PwN66dYixU1HGpO1W
uSWTlTrhMLkN5nEku8HvcYyP4GYvRAH6zLD5BKxd2iunWohgvHEkbYEIzmE8bElh9b8YIwImmh8K
OAfGsNWsEXizGQ0paIIolf702jAaIdBvDqst6qgmigPTOSXMVXdgGZpfO9E/2XryTmMY5u4qUJru
B+LKy62BFZpM8XTtKogAZBaDXs7KjpvHe4HU6Dq1R/TWhkFbMSUKByLVoMlcTAf3K/Y66KSjLdI9
QK5dbmEP2cB70henpIKmP5ni2iBUJuplUJ605IC7C7QSVzYD6VNI+UeXoovRsvCcIZTADkl5D8kE
i4SsfIsmfYe1Y2iIMsCX7NfzAa05+Asxernaso9Tua4qa73qrbtVef3fwvE/KhzXyIsfSo6/sItW
9e3xrWq7NFPf/lRB/v7KPypI/4NJRPeQo/IP/CLfQnzrc/41AwBCv1PDv1ePNNo51bohuhEa7u4q
A/neM8evG1Jwctb16bpYpv1Pqse1OPwTJpGevI3cBWMcn4Lm/Z/LM8fwdAJaYSHyDkWFvTDrBD79
/MNF+T9qwJ8r1JXyCG6Jjw1Eif/4qQbsmxG9YhggiSxITtB+t5A+OfobZJL935Sb9BT+8n0cLovv
Oiia3Z8Do5qK3l2eoEDVYwaxsMwYuVtEUgL3hfBDks2xEorsjcV18PrOzd+8/V8uJxU46V9AEDgU
EFlCZ+THetMql8CdKHuOWAsercp/CbJu++8v5von/vSLrW+xarKhudOB/hnOS403D2Ys5NEV0yOm
v2cKtGYzIHNCiCJZpf86B/0fvxxK8L++nUMJjKgJOiinIBbij9/ITrBdaIbmR2ey5TkpKliUTWhU
MCppW5aj8+TEk4RNk8ge9aTd5FUkAVLAksKmofAfxUxErYR2MESY4kQ4Z0iQcTOGklZ1mTQRnUlq
K0uKdh1Th3hiQ+tk5ZX9q5VPBzqX/W+1sz7kVG9azzPp3UgMQ4R8PODtm1QODLJTaG8DVpjnGanN
BYXChOWbeQRjUBlWj55bJi/Z7Df4lBQO5qRxb92+Lh48F/XUiNcSCnuf3AwjT3wamzFPFow9DJ/k
fhyW5UTr9XrIjXFvV9Vvjl8+NJnzFWXOfQ+ECW1OUJ1bU39JRshY4eqmYJpZRRXP6m3RLvJQUI7h
ARRbt8unb8g1JBS79LadPQNJC/IYx8KjwuzCu9GaoU1oePGZZsizb4j4nFO0bJjPtlE2jmSfGOEj
DvJsO4s8v1lCmTz2nlNuENluzHBMiH5dmdxTPB6XrIx3OWGh18h4NkNKeCYFFa7JBO/Yjtl5j+J9
mpPwRHN20Eik/fBR+ugYU7p2Gwsr6aWl4jVJWRcogCimlffk1L7xkhajuq0bwd8JtLYeG1EgNVLZ
cKT9yBFBKRyoxP2lV3El1XWDh3Rn1bLYQ+NgiVQSHEqD+TGfagFmabD2FI/ms9PAZaS80Rsjzazh
dchMyWTCnCFWLn7yCNh12dVZI3DCQgZIpdehOc/W/FJDxRcMVeq+XZiWV6q7xOFsv8ol6B+dwS6O
0kjFtdC2d6zw6URgOLL90Nf6gP/gNUUjgk4tG5J97tv6iBE2vDfBfx0M1LPXS2I0d0M5by1oUteJ
ZjoBAqo093jH5WvjuUxkMq9lDqbd7KBCZ7jKYnpARHx6dxl8rzi2SZ2Ke1+sVfmXfMDkycte9Jic
cTmtDcrpvp2LJ8RXTNjG3Dg4VT1e9R0DzSwd0WMMyXRP+LM4WDYAFuhCJZa/3jm5bSev5sZcw1kS
t7nFORxYrGjUioRFJ+Y99fz81hnA0kiQZi6a5MZVn3jWwdZQGb2Sem+bV0SlFMhqqYsl75YUq+Y9
NAx701hE3MVtOp+1EcSvCHtr8ONJeEjieLrS6GWgjwxM+0MjPTB0irn3QYBYjsl4MR6YobkFygmv
nM6LlYrLilHZx7kXPjdNkzNhy+otFtw3+HEvoQCHl/S9+ZDBwDpao/3F53c18D5/KhqT6sznStvZ
cu6dZtiMMT6uxTGA/U9jsZUB+czekl8bnWzv0SWUW7KA3rMkoIAiqJPjdpyMpxjkz04Y5r2eUe+D
3Tli66YIhul1WAr+LEdh+aSE4YPE6SZj24Ln3A9WY791I9HHTdp6u07vZZvYj66LOR1ouKpPtT92
d4PR2oBfzOCUVZN94JTMUG6dTKXpsAa2Oe1yE5cF5a8NvwEzbFBe2JCWk9AhDVXLfVUNp2eQHUY0
IcfY0MvBsmWmeBXqQ8oDIKpGKmfOtJxEykrUN10VnMrReiqq1IysWAArC9TZUQHSGaSK27gwgusk
Lr7FwOLgFnU7f7Cct8F0WhrJ9njbMtgOIxcP9ZYtwbvNZgZyoSfKk1dZ6ggDpkBCvUyfydywUY0p
3tkMseptSo8bKDJqvcoGjfJFTNJE0bE4+NpybwuFQ2xEWeWY7N3ShuqW9phqWV9Ce/qdTjMkIyih
XOYaX5+fP7upC6EqzJqSsSaoAeFoXOpgGHdlQIrgsPjo5+1somfSLiPD1cA44ini2Cz9r/TIQEeN
Ib87Fp78hDPHf8Q1Ig4I0audshzc0uNMNljhWCuRMD0OWbOCQQb36Paue+tlojimRpJ8CdxdlWTz
oZzT1TGX6if6WJhanDBgRj2Xj3aQiA0xLhjgjb6wPjnS23lkf730c+F80aOX3njKW16wNW/xR0wE
rLRK3Qyi7fdY7lh5ANiO0BlVVHosMh6ev4HusGh+qGLvJXF34vk4gWWw2TMkRybvqhcVnfutVXbD
73XFf8dhfzsOAwf6Q1X01yK/UX36/zZvNNmyn6TjzA546fcq3/3FoeHrk+izVvX0HH/sEyOkpfw3
6UXSoV3xO39U+kBJGZ3SunUDVCa8jFd97xPbv/CvCqTodsgyWlvI/6BPTPX7UynHqM5iQMZ4zAqI
dvTXZukP2HV/VTcCqMqP5EiR3SnADBARRpdr2lqjYtLfj63ZRIHppyTRW3PCSRy0QcCGilFhY03e
qolc8EvsGrdJJCKMRkwqauEg0w1M7e69ytzggiLHObVoYG+45Z1T7wxIOWaLxyTNWBv7nmAbnLCv
0qMpsbmh3QkuIWDQ1xoz8GtrLiRsjXmXtRG1QXARKXtVrUZxg1fNqDcNfQRvPQ4H7cEq/VTtusJY
X/IR3lagjrizZB8+D8zOLaSba5Z43wX6IdFu+FxlQj8o4u9OcbHm9Nmt9olUs2pQ1I2rmuDshX73
3gWmeCzrihM1kewGjIY1NaB1kErPpaYxUwzsMlhvHUWAm5WQOSls8Yhf0n3z14C3pjGGoz2m9tMy
Ab2ubXIJO9tEP+1VnbhJLLDISKmT+Dn31lAfuF6rgDrMO6S0KJff6UNzBWqnsR6JGm1feYibY6Rt
xb/maOJ3q8Z132YafC3Pej4ABwI+7VTybqadoDaMAX5sBtujgclwkW/trFmZAQ3S1zI3+e5h6YLF
GCbTvvGcrLqqiSO/sQtQnQFhdJGaMn2dx9l4spsQOFiGCvyPbHbvIzi80hUBaKxrrvDvP2hpJiQd
AjMMn61h/YWp7PQdP2nXfSZ6BpX9tFJJmGFS4W/Nriyye4McmBa/ds5faceUfwYdARwb8ui4LhOp
9aA7PmLxphl5MWJiP8kOzMkg2LXrI+8FtxbZbmW1YDBjtvZbGmOAoLtUh89zOT30S+fu6VF5zqaM
sxhZcpff+4wCnajUEgi9qKzH2mEB6nRaV23FQi80eUj7uU34S0ts8U8/RX7EJ2ERoffRdymbNmeb
fmQ1WKrjlw3t3rd3tBzJ5XQECYWl76+R7knH4jMsEuFiuNXoN6a2fycPHtyj2bfiJp0kNyEYPX7g
BjYINLYwIYuvAJU+n+s8JMG0CPE57UaWKOpUbstL04bY2XwkIicjR6KLiNbmc2fLQLBlBXj3wcY3
FUf1RAMjisVAhKJewbz1YoAiGNd1MjNzfh3Wnyiwe/tUuUP7GoiOP4Z6NDsw1gl3wCKzAz27kEwn
0b6qFsrjxxLODJ/rW3Q8PtebfRW3vsbeqB/oW3JJpjVs9SOuFjocg+QUDdeeAOHw2bZCLlxPDJ6N
bzxgwQy+2VyVwO9YAestge0wO4DC5eLNKUxvRq72KROZfAXYRT4TWC7q1sETj2A64mcjN0cjahma
4NKU8NpL5XNzeg3hqzTos0OZusw+pqzi65iEMmad5gddhWfcD6bJAiP6gmSuYuT6xJCtHkcy0g4z
QV5WxPnYPvlpE16mpgwvi/T4CfuPqPemFcCHSyNQwWbwu9S+yz9iPw2FpwJX2BJuTRJrj56rTJJo
8/DiSm1sbcThitSkgu9rAxqa9ks3D+ku5KagAaOQ8tMFZMeqLDTyD3On8fHkJHxngMIONjr5B+gm
zolRkYFrR5T8HYfjEOwhjm55z5Zh0iN47N124ApWjn5oWeiQi9NCvhZmLAkQ6BKC2FLr0bdZ815R
gvsMUoYjnzoybp2jHtgi7YUvrIuCFWWEYCS3jDzEY2wuS3tOGt/VO7uu4HUg58oOublkh4FctWUz
TvxKZbbmImeksO8Esdk2ZwaHBU5yKz8rLW33zQTkSAQU/d5HSdTFY05MBqYHVdloocyG9SK6HqoH
icqvEy5uL6qwLtxksDAeKwY+ilML+VO7MVxXji/KZsaDo/jzFtXTe1Kg+M/IBbtDPyQeceuEzypz
RX7loD8/YpFAmfmx5h0LufTG7PnOG0uu6x/mj7gZspGUW1cQHQ+bkrcYJyF7nEUuHBQz69jfVNcH
Wzyu63oMZ+IrWxmEz4a9Zr3/vqXlnciqLSHHLCWYVWo45UEnsR3QLFA75lTizvG4u8qyoDgnDCE2
7VLvP+64agycZ1BnmkwW6ap0/7GzNk0qvMNEs/pZZHZdQ2RK5uLFRe6ZbUpn3aXEOGUHpmfuW4j9
Z5cPsroXKUlxQVK/g0IOT6plnoDgzVwfznHCDhyWC6nmi8tGhpaMOzjANg1DKWUOkt5aczof2X7s
atqKZKCEiJKG8//Ga5bwqqq7nrg4P9YJlyQLy/slRyZoZji8N2VvJM88Sgnm7fHXnp3a5K6hgc5e
yz0JsIUtpiFoxkLGiaree2/q6rlJhDojnxkY380owqlDbPruTnBqwvVB1Hl1+YgSsr3iGRPcIfUz
Y+7d0d4riQVWCtHfuIx4rjp8M5sRz8BT5ku3jEgF/iJ7a2dYjUTTEbob1fsb08+5B6KhEpUxHft+
PnXp0F75echh5w5gc7OBE/4CBHrfct7eGxju7yCYRHnlP8RIoMyX2YObxHMCLnd8wvVUsaviDyMu
Aj+vjcBo25oQgi3PWmqgTThJIk86+aZtrOoooHumKPPbgPFpYe+L2hpDOFXLnvHQdAZkUxQb9IGQ
v3Dup/N+9qC0HUOWJfOtbkAxaYGxuuptZ7kNdO+fO2g3936mUfpqg/yUahJPjhibawOHwG22FMHZ
t2JWr3AoStIA71WQt9hvW02EfAGHUUHDufbtxIRgZLj6rXSa/Gn2qydCV2V5KWXn3MsiJfql76aA
ibMK98Foj791swp/TaEvIrYMrWhhkTEj87NtgLl5P8NYRkcKWmbWQOGqoMWz4zioglFO5deBSvP5
muvlved9UO+XAUX0XGbmLsmmJyY37b7IAOT78fRlRF7lZrn/ayL1/JC6c70VJZpGu2CkZPWuuofv
RHQZguudqyv9lZnZowFNG/tM110HWbrcV8vswkUZKqbrhnOIQ6A2+OudXSK7R7kOsCPlURntugoO
I6G5bFEkUW/cKW13CXXDeaiUOFtApY9u2HSnIhycS2MvJspNXWNhl+4n7dFN0VIGOyNcUGSxY9GU
roo7pOo07IKzsRTilocAnEBnrPdJYHinEmr2fdKACARBeLSMTh3QUFKzzozidBIOJCjxg3XZbDBc
1HLLATPE2eUygKusbV/X5kMBi+HSzGX/xBjMuMwVyZ2REfi8bqJ2/bUfS3pAMUOoc69rechJe/+c
U74nUTWQPMD6topHS8XB0Z9s48b0pLnhyetvi8DZI34Af9wUFQYq338jK+izNlZbPXmgtHmV6vYG
WU8rjgzFwIza4GDGRbpxg4L+GbbU7UJv9hAnaX8aa/e9Jf13Z/Vi2ojWLNfdSpxmHHBvMaNLSaJj
pz9TEe+orhWVYGbW27kwi11Pm/oxluwo7PwK0GAjcMFnlo9OC+dnldK56yz6Fe5UiumCGYA+XGsP
OYKAzkMMLre9az6MU1GKXeKWCna7LxFzPWSxQAws8mr1ZC7dmLyz+Sf7NLckgCqInTFzyXaTpDE9
7wYp/qH3UoONSWXoIophejY40wc89mLLA1Ug0q1CIKvyVO58TzXXWcd9keE/fIb7V54WjwCAUM3F
Hlr9gp/f5L/mPoYZFHtPU6KJHhJ21TjGGd4/hR8baQVtOQzt5JLI6gbkQPdioHS4wjVGGFDdbXh4
xZ8q+I9wMTtmsgNnFzwCKFGyl85rB/NUFXAizoYUy6owsPMQQ4E9SPBuYlWNJBzcEMYxL6WapXkf
0eRsgtdYlmzqcZ5P7cz2PZsgUV0MX/R54Jst7sYqHcOMkg5APTAWbLz2K04+nroWsCqCTrPARuk3
xW51JU3F/06LbxFb063IfR6VFaqdO1CDpiqlXqsnaEsg3hyeTZlsy/lsikU/zNb0P+ydSXPcVrpt
/8ubw4HmoBu8CRLZMtkkW0kTBClK6NuD9vz6u0DZdS1FlX09r4mjoiyaqcwEcL5v77228chZFLBW
O3EsZwvZ/J2T6FcjkW8wzxPjdhwPCsRqWP15dh71BjWjTQ6NQ7qMJx9HwYGmONyOlECllqweSPB6
4rjUPEVDGqxkfsIFMd4PYkTvT6ghfSZ6xeEdIYXHtNFzqtag0m5joThNpDEG7ZUsyJFiHT0rX6da
G58Ow1vudjOkOvYU7z/OyCwW5/tBrUNJtRCQxZ1BhxMQF+preKy8plVOxQ7+IXBhtttwIPvTAuTf
yELmr6oQb4eLmcTBw8ZGg9Kwn9+OxAC+BftL21uJzUdi1oqGcW9YT17VzKvne4jVw/RG7aEyFbPc
XCa8rCUd1MPsO7xbsWVwWLIVJXcZbk0+bWHyz5nYc7z9mFYtk2BwMHUUCp9xbcXpoQZeX25IB4zx
Nh7b7qCWkt9OATqzJOF3tooe55P3v/7LfljU/qy4+caKJbZdshsYmg33F/ly9GG5WSygD1U0EmL2
l3mgNcuh+TTobJ9mhKopydTOsn3F17vctz0bhjZhAk/rubsvscL+zSv6d99GHNiWYwnXMnh4/vz2
azbk+YGnPZwdMENUxjiEpFkkPUsWM7wJ2jq0TqYp34WBvaUZmQqqCULY3sDpkm6kbNbJiXHkr1/Y
+rH//E4Jm/2XyZ7JdNk2/fK1QF8qCBSn2SGqfb69ZQ3G6EUJNchPYlGq3YnS59BeV2yaaazNOaP+
9Qv4N58Vnj/cmgZqJXZAcxVo/7TjmhKa5xReqoM9+/h6o0rGaTj4RmTeGJpMYmayqNmnVprEdBhH
qgL1IaObuOqNR08fjBv0J4avv35V/+ZtQdGwbJ3pFhn11y9QZQ0RBBcRHyq8S/t25pBMdWTN6LZu
qqk/MBkQhlIxQ2hj3Hz+69/+cW/65VPh1+NEpf0TyJf4ha9VAcIbqhErtr0UbAwyo11YWcvWKzM+
EJonweBbk2c95m6kHY11Sq1EIUCyiLbBxuMscEwCnfL65NCvi6amjavsO24mRv2KKM+Pt+u/m+i/
30Sv39d/6fP/YRMdvuZ1//qz24SIxb/20D4b5dXwykPK4mo019zFn0OaAriJTsPnL46TD4TJCnOn
OksHyMaX+A/Hif0bLmYWxvzYj06tf7KHFu7PHo3VHSEs2ndN18SoIYxfPRroJ410Ztc8K93GormH
kbn0SO6mDn5bXmu9YNVUkisIRs/O6G6mhvAz2zMHQTo1DnJstDNZgwEkpFbuYlDbyI9KXtcxdbOd
NZy8dnJDUfhAM4FpP2CkxLNQxWieqbciN0rngY7O+SkDVEvNfI3UajRtHZQSVIEDDoMRjrpVk5Us
BsIxsmjcwAzG6yZ1bcd0xiXXjlV2JzBSoH3a6DJBb52pZ1zv1is/xTi0srECj8zmxi2ckyEQ4QZ4
ukncvg8sasMha6Buj1226axquY4Aem8BfIdMXF8TDfxRW0hty9GKWnLWLXu7bnnYx+Z+dTW+YADM
trJZoVswZ4u5u+2AmW+57/evndmzC3VLVhE2aE2rdPj9JcwC3inBTOD5h0UO6b0bJzWteIZiiWpC
cquXlXPQgC7ts9tu8XUsB7nakuCCAUUDQIC12SJrblvsd6E8TCTBgpEekxPT2HVicPbjXHrv6+XK
tnf3fjkcGrFK4AVI3wWXwwbAhh6akc7BJ0M6S5Znux+BPkG+2IIcoGsdnAEVo0O86UC7ovgNb6XE
3zHPGCwqI73CxE41NKiTWrk7LYVOZtPsFVJrpgUpj/GgtZ2DH/mnHj184+UmngkVac+LxYKBkdKG
PwCNwRrmeWeK2EdoL5ejye35kTIk8rU4D0N6R2immQ1Y+VJjbph1EVa+7QS2F+/nwYF7wi5p6xvZ
l2ZuxFWrQWeoonJj2lYbDrKbAouhJrEGF92OsaUg65dn7WMtnWdvVufMnNwghlex0yrGWkNXyd5t
yldlZ1+ythf7DPY0m++p2qKyaqfW9L8JtrZhP+ID5TuxappAvPlKeF18ocsKdToGn8XwA1k9xj3s
GRQQyALMdG8fWzMzvixCGUis8mrW8je1gJeeMbBvszRbDnbF0lSpCr9AwXeBhG4bunEjDomCwSGS
Zd6wvWxDCMafNNnjvXFnHOEkTKHdLu0eDVtsa8sHi0teZxdZ2VOHj+y60pNyZ3lvMWmDE27YdmM3
jvZYwBqlaMxJROgWaXpfjrm3qST4tYzi+T11cN0jEWMvNFw/v1cYk0Ip1TVEvmIHJGbagmxwdorB
J7RJbWyrmVqy3tR0Csg6RbYrL7ccLxM63HIzhJuDtu9mztFgjN1gBoC2bcbHHvv3FaMJJaIs5Z8G
9Nfd4EVWaLLe2DixP4X2BOpft2mehCSsP1Fbpwe9ZsD9HltM2zQG0D0JCAjGRfWQa9ZyRwupfjJY
h9hghgEUbSYNOC8k8wnoXUn9Le0MW2uR+Y6XOpxdPEz8QY1CzLTY17lzw/LnLUU7JvLMNDi2xEYH
ztGhq3g/G5SMg5sUGWgn/fscAcCdp9o+rblzaMv9g+6lRx72zsmjPAjbun3vRFm7ReGpt4k/U3U/
FU4oMJjjzfG/AlK5T5G0UAfuiqGiijhLjf2Sat9KoZZd0YF/6d1zOvHnpVvtJweIdkXv086NtW6D
x6YJl4hzd+JaXmCI9LWtoY3Q5vAgcY0c3JGDaEGVNU4GQNyG7i1bM63puatavlKx010vprsbSvPV
b/HteynYtJHA9ENkJvGmdP3tsGhYDYwM4kj7bZSs6FxFS5PdZXgrCqhB+IvzXVaYtDssCB1LnxMr
80vvkFBkUBfmF8eR5wyT81Ha87M3SZeBDWw0lagODYZp9ej740tBLi9sGvcb/V3gNyIcV1NcPJrG
cOWKvrtpPPOU1pi67Lou0HVo9Na7uyKJqjCy4N8SWPjeYd7GzkX9uq2Gei8ECfCIYPG2hR5/Ronq
9mLuPFxyYGEKTG/Sgqm8eP7jIpZDXVTGlXLwBYzm0u56D2Tv7PEbKwWCH/binYSYkRk8hGYtolph
wlqRG3GxA/oMQby0H1Y1LHQAJ18trTzGHVFhGF0aoKOBUrCExwtRSOdzkc+fpmgYDu7ivteDibwW
Fwn+lp422mrWdshGLFfK0b/ti/FOj11C+kKsL3y6bloZbXobhlhJF2SmalKU6W5uU3iluNCORqK9
DH6TBS08KSttsLkUw3D0RtVxr0k7suiRc+D+m57wy2Pw07jLTR663kBRIIXbJlAxXN+7mHXTjvwO
/RCiMfaxm71MY2rj8/Iel15eybxFe9bi75bWuKeiKkBCuwVZjcYxdnbteltDlPrJa5DTCBRUEJXq
aEcLG73D3kJW/q1gEO2fBPglPGQs3Fq/OsxoeqKBmwJ8YXrumfjcFXDiyKwIWr59pXcb2Z1PAsNN
UDq4yHA82tI6tJRUjQAOGyCiT9bAwRjf1kI5CwFpW9bcven3hmGTwj4wI/veEuAou8/1OFeqOnXW
KF1/k9Ue1lb4qkWqJUUALFF13Y8S6/8er//meG1ZnHr/6nj9+K2qvkn5DY/sD6DK8f3//7/ff+qP
LKBBWRLLgNXD8SeMsq/DRbE51GKs4EbHP//s72BlhLEalXBlJa+ukD/8HeI3f80N+i6tQv+4j5bJ
/5fp2zN9LFm+wGjg6Pipf5m+3aWztGSyq6MGa8Ogy4Py1mzcgmGaANWWOmffda0znft1EVrKlgbt
dTmK4Ooe2lKkVEFHstyaBJhoSGGhOq+rVWddssaxg4F06iw8Uc78qYQZ0IaLZVuvtCwYR3Nd1g6+
PW3Ye1CCELnvQ9Ww0rVQGUkixSEn4XZjrKtf1poDerKuY3aw2Awrf5Y7OyEfUlCyVATZUn8SqGhY
PmR5HKBsIrU5u0ESmdP7Ud+MWRrfGutCulpSbtEJUIxglIKNNYHL+lNiDO3eJCd0wqzHbhsfpPMW
fWy854/td8lh+7omzvaUIzDAe1H6/TB1ZlgV7mUcDP9azzjIeSUuMFhX7F+tHC+tO4xhnrYwzzK9
26Mw0wOfCo5ULOnrpnaPHXaZHdinJVDDaNxWrn+KKzqk6jm/wzgJqAofQWAsk7clT1gHwyoMdCuQ
bWqFvtGVELT8zfI4SKUdIk0ZJ5En2qmQFZB2AFfg2nEUS2pvrxGhUSRaT1vxj9PwCCiPxTlbrHMc
lfaeO2bJAEOpHtYLdWlGU167dOCxLDYfnVUIWfIBD+NEzjByc3lROXBacA70RQ31HGoNcopYhZUB
hQUXwhe9TCVjkpUdhpExBA0/eh69tN6B0HDevZT92/WAy+c6tsu1uXvVdGaOPFtvZc+D6vcOrJ67
XeuYOJdXQQiUJpvUVSRCFKI1pKum75iR/Z1az36bNmKrxnUjLmKZJM/PrHlKBiN78uZ6edUcJlYe
jbZ+DZF5vPK09TZf6sgaqY8u02D5DLgV42Reha5olbysVfwqUMFwk6CHaZZoD95Q55e5bsm7Vxgh
zbLzr0SbksYkRJ51m9TQSvcwaEO67DrmIeCKg0CJU6so56DOZR86nZpXWPQq3pkfOl67SnrIkhl9
jj46Hyg7HW6hyYnVmhQIfmwKbiiNMg1mU5V3RK4OrBIpoaFg9rpzzNe6aN3o3CIFJ1eNUbw4tH/e
Y/mhBscztKNMBxGZ+4Kzbe7ieJwq/6sS2AO2NOOqWzXOkCgHOoi+gmGM1BmgYVB5/fBkNzPNL6RO
u2HLyeyRvjLKb7sB2aOo/NNUuya5wUgimDSJ02Ac0MpsWqseYsY5ahOezGIS9LbaAJj7BEaxW7sn
7OWe1MLSzkz9lhsl73s5wtyGXre2SWBI12Hucg7a6Dyyb2gIJhyhY1NucW/Zi3GpZgot3rOoBZ2U
Kj/gDgeOTWhiqw/1A99cO8cUUw7467Fn0N82smoM9N7P3oALLtrBq0bie3ZdUICJex9I4ghcgRXg
nGDEmXD1P5dLY7/mJLL5pmAojzmr9BgSqlU1IGAq3ulv6vM95UVjw9mIMGQ4AuzLg96IIn9b2Tm/
UhUxS3wAkxgKqLsqN7ksWL7rE44V7n38xj6PsJWQ8uMwhoM0s4Ix9av61vUWs3Y2y9AmVn+F2Gzr
YIAxrsTu7OIEolHjFtfovLNXl45O2RfCo817vHHwTzwWazd3Rz8k3Qx1hwinSn/agytyritftMc8
pdBEzHZEf9la+G0OsBSw3iV7bMnevl6bwSsqwlXskxXpDLsGlLTa8zn1ElzrqRUvhOdyUX3UjQ9r
83hPInkFQezttZWca5VDjBE76bZDldR2OgLcA8Vb2dYxJdOlNbFLpMC8uiEYBwdxdJ2b3mnHz8To
KEXH53i1sCgNirYzQgxW8b7vMGcFSg1MqqVUy9d2ad94RnU37L6heLOR3KQEFr3A1Fv9IVZGtJv1
zHticyQvQmgRD4eqwCjrytu697RdoS36aaz06KvCo3m3REYoXSc+cuuMDuiZ+qfcNdIQv7P3eTRw
1QZ9ZDaHDGPOlatcdS1s0wuQk/OwmZbsS2JaxglW5XgjQCL1WiUgdeoq24C4gSyRgQnZZkuk7hwf
biQlBHtJV8CTcuv+uDjjwMq9Yn0zljbgJoPZQkltBDgO3BQHGLSNbja9K2wcDfYfi5Qn+6Bg4vcj
lAg7MKnJC2Lm3btmiRlM1Ep3yvx47/AX2DU4ltBagcNya1Tik4V7gmeh7Tevo2f214arjG8jxvWd
3StrC9PWODiytV7gOjZbqgHisMEItMvg8G27qi9ucn1qnweuw2vUnO4O84t/9qAOwe+usjMYfhbY
VjLe0BiIAs5S7gBb8EvrifS8gKh9iWBO3kSRgf0ykw4nATD3DLAsY+rS0m/knJT9JuXKv7Mzd95T
NNG9em7FrsmhKnBW/aVjTCNPVHrOsfSlf4EYr64M0LBvE17VoJlLnUmv1o9gwV+ijvA+HW4kGyq2
P+QzrS0tBAxZuqF9mqtI3woQ59d2murELSUII57+hC0IdYTCSIi+0tv7pJkYWtjcxBJvJW4fXyOL
KsfZ8Tctu9INDtUlXddv5HBKz2T603PHiFe2ORRGy+OipuQhJOtkv4KD40yB3Y08t55xJ+gIrDLF
jQi77oOFHB/zyItLkMyP0oGBfPk4tP73fP8353tUJ58j8X9en9/mxSuO159X5z9+6PfjvS9+w3BN
uptrmlik7bNV/9fqfMUYOo6Lt1s31wHgf4/47vpvkOLYuq8Txh/He+s3Epw2+ANe2fpz/wjzwYX1
8/He0Glu8Tnic4YzsRL/erzv2JFVs2O0J9FrALxEwf5p7Emk9d7FhtrAw8+H3xNQFajsbd45g/aE
ASx7Z1lhogrOxLXxHZWln0Z7bQAv9wg3t7giyJNmd71TQd/uUvezrZzqlLBXuOqnzAx9DcUOM2ha
nogBkUvIfUiqY1ads6bV8GwnTU1Cf2jUvlwY0zndbGKVmM2uHKfO/zym3PIP8MZRS/t2cT6N0zx4
dwtTBr4XOkDJS/diazlrU7IfN176Oq4FygNW9fJQdzUsoAbmsXPGoJH08U6jj0is9Q8pVX/lhIVg
uikSVA93R0BENTew/PnrJjOZccoAlkxEB0JU0PS2Zd3qRBcrW9jgnwG/+hSD5gNushvPpDh5YlfN
+0ml18JJo91Etq+zqh9HWvmMJDL0r9NUyElt8yS18bPgrbBxfVQsFvJNOXRKWwJnwKvDUcvUSrYI
LIOKIPFUK8j+ZY1Qm9wZY/wi3JTMBBgdsbtaZe+YihZpwyYs48UOx5h8YeCaYoz3Zj5H3Y1b9tpR
n8i18fCLmJk0K5gILgaZTCqebdq4j2E5sYMEdxJYUlfBCKDuYnDK2Dl+s7wC9ibxh6V6Q+9pQh0J
HjaglPkZJrG1r6Uoj9h4h31ejW0ftFXtBMVYrIubmYLphNxeWdUhZvL41jb9ajMmxRw6ANxC0duA
RJy4PkjlR5eunMqXqNL6JsijwguUNja3ReY85XUZXyxMVXcTTYwXFv7jZ8BRc8iBJDp1TTJf+D7U
OB/rFI7BHN0VZr2AJW40czMNA2AK/GrhZKTuje/n0XPCUfYwJ452q6GpsqHsNMoX3c46R05U7DUM
5YoVMtLIM/OkzfhVOE+tY1QPuHNzI8BcEWMfy1pr3mBDdOdNjUp9rFhd0wTcMwoP7ESPEziV/VTk
8bNFL8+VrwA6B0ZjT4/o0IhFFJhBMxzgGn7nSUxDHZwq3Hi4IyumtloFC4neO+g7TIiT/ZgRsZPZ
ICxo27N7NrCYx1ANVFFROzKMt3j5zSvaweuDELiT+mzhs4b21V3gq1TPnZyr/Ri5zdtkJi9G242b
vvC8E590uaUgRmwW2XjXipTCJXJkcqrYOT7GNLx8GnCllmtLhvk1qzv9SlMVLrm2tdzTVMz+TmTN
N3K50cGw6dkALY71JHKzBz/3hk+6kxUvCziMF2vq07VuwMtfWq3yQeVzhTla3+1xT5hb3536XdqA
wK8hs1N7VOwzRuTbyq/s0zRLQm7VgrOd0Jiv3RpUzgTKVsyhaJrpXRVlMzHDBjII3egcnQ0O14nt
zbSM9poMhdYu23oams0UwQ7lfekBXhf052k6gpecTrXuVyHYI/NZuJp122vdU6q6h6zR3PfZpj6B
dfIKxsQuS2Gb2Sikny4TVyVu8LPeo+jBQ4pCN42PvpDu9TJ1LZfGIB8UzPAQJ3f91Rk4kTaTqu9Y
5aq3Fm9FGxiwx0j/Tg14+Fg8xYmwN05LPQhSGbsWpfz4Grl2+NzbcEPBcm9IoHCMz9HgoK10J2pz
41d2wum3YgJsIsf2TLfttPbZzWEyDtYnE6cPraIuJ9R5mpazOVORKnKHvGCP/sEVJxJIY3jMdx0s
DDYXuldfcjIl+LZ6A4fRarodZUougCgEw09STtl8MMFj3tfT6sPJ48l6GPvIe8unEjfSkK6maG91
EROuZSmgRfgJ8eq9DqRlrnyHrhyW7mumB9r4fBcbVUQgxUuIME4C++hqvV4wX9y4GBaXIB4sDMQW
Fjt8i0RgS4/tTbOQ89EMs76RKdII7c31ptfnry3PvHsD1QEyXSQ3/EexkWUE4/A9+ntMf/NZ69de
JShuX0Xd2d9rTbynTWueDbKYgMVbEEuFzwoeqwwXOUxuAPHeNRud/Aw3G3BHpr4mOlyCVge4Ieb5
qda7B5CYyIf0lG7Q9SAMoVXtUjL/e53h9NIaXU0TIJsnNLZJHmItuSnyMd6x8Y/QNjrjJW1tZDws
bzuu968Z0tp9awKUS8B6PMYuk4ORdM1pypCqui6yi2u7Judsy2qkxESPD9o0c+R0SqffC7zEF765
ZVjp/nSX4gR7b2eUK0rOjIJjj/CeY4eScl4hAWVg9bSMIv6ivNjlXRlp9q4wl/poQJjd6HC/wkXq
6VnrYjdwqqre98M8hGKY+89mR2a+8OoqGN38Sy+Nt6xt2HbweDyPUxmDRZVTcic8Iv+VrPMQY5e5
gVMovxsgfrcD5c8PGYT57Ye7vY7hVAl85CEI5eiBBbm8ceD47CefBdsiaSUgjGwZ20z5MMBJweN+
7hLtOGE+TgU+0Wp66ygF/9LO07CLKRV6LxlHtosCY85t70viFd+6PJVHC4oMJu6cELDN/4ooAQ4W
GlkOgCAo1sVkFpI8M3fkOoyzarTsq595NvfORNvTGwZ5XkbFJesLCydvlu6AOrbHgQPJdoBncGBT
KXfuzMmL0cDe52YyXqVlXXAdzSi8vUFxs46/dQPEcdxarqy+9vaUbnjtj2TKjc2wJM5hGq12k9rX
SkzNoRIsyoDomrvasL+2enMZBo+jA+orbB+15xZN172lfTLAWAdJgsyS5ooTRkE/QK7XN27TXVxd
7n3Z7hVyPBpQPq2Ep3uPQOoJB2a8A4vpBfRDmYGTVmRZIPBKVhi7SBTXVqlp976cp33hDP5BLBl2
XKu80B51h3012bE0ppC1JnPnFAs1egNTe5oXewmQOOwVzGJB83Ngs5bbV6OluAm71q3W4x/n3u4+
9sJMDyojw+zbxrc2cugnWwBEpDiLA0JfNg+yPOF5YA2XCSPL17RccMVqfP1qqR0cqJ4XR6N5we8p
7RjtAX6a3wzHmS0diI2Y1UmqvFPZL5citb+IyH367yz1fyLfCNth/viLWar7xvnlz0IJCYf1R36f
pNayJIyhbJJMEDaYfRAj/pikTIFByfI8oCK+h98If9Af2BvnN9PBSoIkAr3lRx/lHyYkeIoAqVzk
FSx0mJT8f2JCYu//8zSFs8iyGcpMTHkW0VvzF1NcLgeVT4Of3mU5SC1/g3EHdbyLc+fWjxrB0tlp
O7kHW1HhZ4h84rkcuFNnk0djPc03OEC4h7t0rQSyT/PeuudOtMJHbcT6XKdyF+WWZGx+gFSlT3d9
0ervrKepAwu4OaTepjMSWsBNGmsJKNSIid64r31BTV3SZqcyq4zvVsxYF3B5e2+aiWl4hrZ8cnPR
BnUdY6rtIZHQ5BHtWUSq0PIL/ZasFgQ3xMdhYMDpuMOooqGcUVlCe3J17c0DVMueFtmAskGXPpkx
PaZKZcS8RHp0uci+TIQktrh98PywXknuO9fLqcio5+UOGkrk0x00ld3Wavgbwy9UPQwzGN2hryeA
c5kR4zGlvzeenLd0GvsniZ0hu7FNkm+Eet3blDs6mR6qjIgrOYQvejdJ0CH82af7WCda9+DafV+F
fBLLp2jhdqBxZhuCZY7iB9xlkR9gO2HmWnj5x9SJkis1zSQDwAzae0fM+jFmm7/1nRysgI5539i5
2PLJ5lCJ9bJ0nC7juM04UbhjedJkRe5Zs2klQdRW3q2XT+6Abi34SmQqBbvlzgnUoswGagcvw10+
98zOgD06vlkbExzeHPpFMoepPlhbqa8bYi1LvrsdvpgkTvODTMWwm2LLCe21+w+moXtpFVzGoMLa
HppLzznNwVO21PgH9LI1LprtT9tqLJ1TJFxcEF1nO+8TrV8hVrPhhi2Bwn221GWCer0ACNy1ldac
KbwhPqNXg+42JzgHk9dw+yVajSBOigHdHlxocyfylpWBqlJDBLpFjqpiTsWTEgylFGeqDrFbBSS/
PA/KriEsEZao3daFJRmflTJG96FsqpTYqjb7zXPRjS7EnJqKoSXhUBh0+po+xrm1lgOayF08j6LO
P8NISd7L1l0ajN8u2kXhLaV2HgG7SxKCM0dAzUvPI3vvKyeqplezRIYIcjlh+Gsq3FpzvCQ2viOz
6rArOXpyWLB/1EShRMHK2uAwupngtfQHvSvdXRWn6R0wEQ7ZSTvSpFgDdufKRhFc099L2oeAjsGX
NBFG6bOi56ENTU3APUn4NMNmXPu39ErrVJAxs8R3TkX2b9PxEHOvZ1WyfpC2vu9ITOHvs2LqExAu
6ON0OZwXmpveaHhGRpDCUcGUg1iMNbrwpk8mDQz7HlcOBBhd3qu5z9SFvNFXTfkV1xTVasCjqWCx
b/rakhiOWranu3hAIZ2jFYbiERh6VJzOcJtETVft+T/J9vpa1fcH7kTLA/yjmWZpG1fIBjij6ewL
PTEn8EPkhq266b5T9vJkD453tlJbqocxN1E/pjwxaKKMljn0Gg1SnZT6taKm6iIwkjOpCj8rt1nM
3cxG2aLfrc32ara8U6Z5S06DizbP59mYIJgSjlAhvwmMuxfJbWHE61Kfz6rexUxfoamEddHA3YNX
GpIiZJFuXlGw6G8tL8MkraVr2lcks/FIDUEaEo80+ZxzEWdvXetmr5nea09WV4yfOduOHbhUIbjW
xDxSksnauzSYTo+IvuS/ifzILSVacXfFHxAke7Q1B2mbDvv1wPEwYZ8EYTez3Cz0tDZY0pYCXii2
P3qlsKjFzKldvKokWCW1tsNYFVEwAXaktkuUprpqBuqe6IV4NJbYeiaP/oLLmv61H6Fjv9LNg+NN
7sWxgaLGPXGy3kwAQvkkGAlnk0wEyEMBOqyV+b6KpLgpSnMYWVy7pXE9dXV9TTLIyfZeW1uf2n7+
FM8zWcEeOdIIjZSly2Yc9V7SgpDNwzUMcONGLYa8L7MaSZPepDm+GPMYdZjGRLGo5VBabu+SvmS6
o6acXN/k3QgvN3b/PU/9X85TuO6Nv0RQP9TDf4CM/P6jf0BGvN9s/lOu4zirl2RdN/9+rPKs3zjR
2H9eRP+BGLF/w9GN1xr6hyPYq/6vtduC0Q/6z3YZhAy23jTo/APECBS6n09VAriIbuuczwDuWIal
/3KqGpBeqi5La/B7LlhUHy7btKmq1N8n9FbsnAodHAxo5l381EJLN9MqvZmcuQ5Hem68sLMGUuBR
ar2wuVruKB6uHkbpRF8g3893DTEFhFkiygdUMsZyn/foKtVGjNd5xb1ymnmEhqzHwQ0lbNOtMycU
uoyNWsOSIGyLno22aLetn8LZpN1rwkHHhT2HioX2d1mygcGVsohdrklxm4AyvcuTSGy0eh61rd5q
1ol7ImBdtIAKQL+VmAncbYnPrl6caxMEWbPpTW6tQ2lZp0l51tGfMdBs5wIZVOcy88O2jPpv/BYD
GrOoMPFFAyV3rBFbpD6XSesHQQL8rtOxLu5rwPY0Ch9QQX13S6y0/J7ygR9sAhg8i2zEYkOl0bty
7JaGI4KtL40i37iJeGUvgqXYSzXp+T39Kjg95zS5nYaoemykV9/2ktqwK/pOYpsFgEnWkKISnBNF
WRgRz7GW3luVNN5lznldrdPwRmao4eV6ZsCEKLLZvahUNV+M2PPuooJgXMC+VDfCiBwAR7hiqneu
V9Kazv5zbsrmNjda/86GqcnuHwX0IHn/diNw3XPhpEyySbIGNBmL52QsyXvZVf1AOtq7aMTEb3AI
lxtMkzYkR0zLZdQBJIAdfiQEa520AroDSO76Nu9a0mdKlMvWcTOcNBLtlbziIMKUsUAe6DXo+TtT
DGlVafsGkr/93EGVeWl0fAAbX7W2s3JV5TsWEApe+oQibQ9/ymXmCIO1T/gPZpfGlxkmTrz1Z7bP
GxteGf4BZES+eTYR3ESbXj0cKNgEUFKbxnLj3bDoPPHnrEoPkdv26jhgnFn2aTRoZ5M46bSZoEeD
HCDrSbqXaqf+mNi5jbF2aoZ7l1mE5ZU1kz/3NMMKjM5xnipjEdfJj6QlJ1eWQxQZrhlM5yOQGUNT
w6Gv/Z7V/AhuLh8hznbNc2of0U6wZsQ884/Ip/A/8p/ESLxd3H3kQqMaYOCp/wiMFh/hUbORxEYR
wWxUkDVfiuVMe2BjKjkUR9duWbIlWfOoCcHUaE2oFh9h1exHctX8kWONSx2rhbvmW20LinaqiMDq
a/o1WnOw+pqI7S29OFLxNz2nLPxCzU/qa3gfLSmI/j5bU7WEAUyIvJlpeIC+k+nZcaIYp+maxq3W
XG7d4aaE522VDRh2krvpmuGloglNqTclwd6K13BY9JTAL6L5EC79PF9pVCseUbXtcPGr+1p55579
MDx7Q7J3rOfTlGbD1qXAYSt6jsbwnvecqbR3kgnbFl8xTia1nz0szEvKwWWh+eIGAeIB5wOsxnja
Y6uwn41u7bEfGNvUMtS3k6ffG5ZlBmOn+Njk6mMT+P3Hgu2qRwp1R7ZtIzO7utKrRn7LFvdGV2b0
GXbYhIu1LR4qZ/Rus7GWKD60GgkqCO9o37V27ZoynVKc9sJRN2nrATkTer9JElnsFgNlhKZ2uTHy
Za3+6+qGqLf6XEesy0EO3Kqmu+6nPIJNnYwbMIHdvo2YkjNH06/ZZU63jkT34XD7BsS43TNieNs0
WqIdCVYMUZEtN7UBJFXVGOuLcdTW0lXjailgGwxu/GXlSIexwXSYuwT6TX+og6Kvu5f/Ye9MluNG
siz6K229RxngmNusNzEzggwOIimKGxhTpDADDnfMX98HVFWnxMxSdvW6Nmk5mBKByeHvvXvPBbU4
HMwybh9IvWp5MAZjH6vxW6e8Yj9BDdi2Ci9wb4no2c5dgkuQyDsXXuaUGZ53YV50HohmPDGOe6oA
J+3CkPEXKSKAQmSXO0dUetD6DMO/7WQSIkTm05SVOqVF6NBg673ZP0+6IasJT1yabYMmbWmhNdFj
2Li8sm4Z4TDpErCcQfNbVec1BTjpK08SPzwk6Z4Q3FQEuxKuyb4mlfGLJALlM81PA/wWlK16qOYz
08MaCfeg2JeVwa3Nf7jCMmVcIyZ+9DHXmmuSbOiHasDcCuDfuKJ5m6NTGbP4MszLIFzFldtA3kg7
f50Lu8ZQxPZw4wz0w13QieueIfPZpqW/Yss7UklRzO19qqK9L/38SHMYHruk4dswK35spakZ6umq
2aQdEw7TVouzoL5FsWGe0aBVmwASJQkJPAbOsDNHodcj+gqcFipa1JkG1YSfvdkMGt/gJWDYTUjt
w/sTYZVQmAyPCDhCe51NDUFdbI0faiKk7hKGT6/kZsVbGTbBZROJZyPsvqVoSp88gUwPIre51o77
UDmuAZ1BkyePXJPBEZ70eWqih1g5+9HOniOv+4rgzN0T6dvCdGJQTd37NPVTuGkLTAm+r16aEr5j
b5sXSF3IebCEfEMe24NiMuqNwBl/6EVX1WuBg2YLLtm6KZA1bilP89vK8s5VDF++nBHXla2gRy3o
hWAlSNQgt8j95vPidcPepl9Jar6f6g1bKfYXKN6t1WD3MAYgCm2II2IigfoFl77bLJuZJli3jmKK
z1dum1RR+iLy/N5A74qgsDGRKfkYpNPAf1OWukN++g3sKu6gFMyC4X+pILrQGIdphKbXP4YIlgC7
kuDs29BL41mSltwdCZ9DIZqgBeohtW6CuCdxepzKC7uXF+5EEznzrId0mPLLgmeeVjVSe0vpkKBt
ZGqQYveqL+SxbsdPzpzonYVqiDHygp7N5teW/SeyKfR81Pn9OqURjTustCcsX8TMul7dAmfR5W7s
QKUqI/gaxeIJPWX0xWxc+5p+FR7/wGX+0vJcuV9LUVo0rzq9lSQZnwjprU9dI978clizL3jViI4T
5veFRCOkh0MgEblqB6Vs2tAI6AMv2bNj8e8sY4o3cN2zHaXkeC0qP7pRJKEqbjqB30CEzHMyaWeN
m55H1ApiuhwjNhYrs862zB7GXHp3i9Rwj8LfJdFJVPVdhwhunWl0v8TOugzIsdCNzLnQOm20Nz+2
QJOWzWZjVdfw8OO1M4QneP/f6IXgJyhRDhjmdTTo67lIF/8GTQfcK5ksn1VB9t6sx/tBdzfSahlz
Vlfs1jAqeTNUzhbVLuG1OXtAzHRQkWk8BAUZuC5VPnBg33EvCfgILr2yIX+Nto+YfLC9ADzmG6Gq
/PTvwu//VPg5LEK/aqQ/tC/Jj210VI3LH/hHG93ElutCZqee+nt99o96z1pS2PDqMjkx3/voMBr+
0UanqkPFZGEV+V2NtIiUTNOmEFykSCgO/pVK7z1U6AdPOblt6KNAECzlJg17e2mv/+Czr3nSknoi
myOEJkfAczDIadqVHpSLsnTsC0I/FwxYDJ1Juw5b6Gli6UFWfTM1lTooJubLkz7esOOBYJZCTEim
yb3BOqvRddfFSG4EQa6DSZLjoSw9KON3hj9BqMFn0Aeh85AAsy3lAe9YtgL4TSLGyiwi4zosHXq6
tcpYl1BjW3XwzZZkMneHgfJ57C9iv6NJchExzcuOoR80/SfZc5E/GRXi56104E1u42zA/Ma1dGza
wbxNJodFiSlND+2eQIgIt2OC41I6MBaHIj1HZZnsG1/M9nqovOi+KgW9ORp3B06q3hRzZ/xGUFp6
H2SOYhxfJhnCc1p7I/qCmVd+l9RR9xJazNxwPrBSEZWZrj28COuw7tl5rcNxZmE5ZnxTXHyBTDBI
thgGUEon4b9no2EaHM9JnJOQhjFwganlRjx9MiarI0wNOGO2jP6kK/y9oP/eMYB7D2CzzDiyFnFk
3jf5eMeIMVVXkj4zloxV6QpR9hf/XhH+TysCEyfaJv98tPb4psq6an9aFL7/mX/0gKy/Yf4h6dA2
LUGowhIO8fcmkG8jYHQYnnkOmJqlQfT7okDmIksIIcq/25fYibbJf/+nI/7GmM4KiVMmLYvRmP+v
rA0IIX+EgLAgoQkOGdQBKPEdx1z++w9LQ2AxIwIO5B6CAG1OmSTk9saN/R0S8XX8r/it/hMEzWJm
+mEBArJr2ZwjKx8xlFyJ5b//cJSoI/vHxlZw6LIKaH9vhjRdaYo/V20/3pQe2JOCACxgIzNhZz/c
jz859nK//nBw1EiBiR6TpC7vwykmAFuh9GOkj52wzne+0sOmH+lQlZgi7jJ0LC8xaxNTqiq1N8ja
07fRgMa19ZRnbwqq6dXU8fFv+6BY243RHLscPbgOMiCUWYH5sp0U+8U4nq/wPUV3Jez0zf/jJHwW
bwsRo8uD9OEKmsqRaB3n8ADmSmxHwhp3pQFDMvWH6aGxyWSLrBycqVFOPc7ddwRjF+BmQqEIsyRc
ek8Czi2DpZXZAzYhjWxGUpgTcRP2+S4Alnhfpl0LenVuqb9KCoxfnwOfsz/ch8AneY8PJPLbj0Nc
DQiqm/whPDDVGzbKRGpO/3+ijMm+/fpIy/fs4+PGR9gm3MMN3D9461yKfVZxjtSDMDhMWGzBfAXN
UbV2c2u6NKJ+fbwPL9H74x0C4UA57PCQfWRkCEtXFeorjhen6pYVBZNER3zWr4/yJ9cPtyCTcGA5
dIc/kmFC0tIRdhnBQQlQPAFXTdphesh1cP/rA72Tfz5cP1dY4JN48djlf1wUstgS4cAzeBAzUPnZ
1+DwQ56ZaeLGTSXDG/RQHpD4us3vph6KtCwwBDj0Gu+wRM2n0nWbWzV5C+6oZ6MqrUW91iNrPMRL
2CHuaTpoPJsPfYzolygb00Eekg20fJyYgwBqEFuCFNODFp7+PHhzevj1SdrB0t7+6SwDk40Xl1Ms
MTehu2CzflyUCNvqklmNhwFN06qEEnaBuVJfMCbKd/WCdvdgvI+FAva+YN95eLMDcHws39YChZfg
4YF6QIpvYcY3XmV+tpj7n12qhGd/Qcu7MOaVNYhPVlg2WAug2a0VYtd7YebhLiGsDG12Mj4kcYWd
ccHXI5+2sj5+ZjnLD96CuI874aKKAnvP1yVhdxKJrY2p58Bwc0I5BiifHZC113Yd3CNNyy4yA8BW
RcY4wuA4+prw4cE/mscXZBkQHgBRr1n1C5i/DED09xHyL9kLZ+05TNTB9MLyby30wTlq7seWkXyx
IP+Z5RrXWFWm1wnxMw1TogEAmNh7N3Jo4GceyrKZumpjLHECLnb+e9np8jPgkvybtJIaD7wZYmUN
FQXxaqiXjSNs0ycfLu7GX4IL3DAsLrIpG6H2ht61twQctEFakUZRpsM14R80abKFREsmAnPsbJ2Q
kmAscQkGAd3Im1KCE311ZAfKr0Z9j6I3vGAYUJ2J4IbVO1YDSQxLKIMBH8GU2eVyPSkaM7m2lwgH
vYQ5WKX9xYUXjb4wQZsAePySee30YLznQFiEAZ6tzkBCOS1BESbfl3W2hEcQQhZcYOyxXxRa3hsC
F3R10bIVXTe+Btjk7JDf80QsoRRdY9sv9RJUkScCxrAcsdMvQ/KHatLdus7ReYHLpABeAi8Gki+S
xL4VEcEzrG39BS2QaTUZwOFXBN2/YlQpN8qz5O2kiqs0Ih4KEiCuurhAvrDEbjCL7tbKNI9SMHM2
Y8cBaznGn6osvqLz+pwsAR7JEuURLaEemfI+A2dgnl9VGzrE2drIvPCxhYm7s5WyLv2xG9DmExVS
9zOhIUDMV10GKRfTL9xxsH4sUczprfJdIFcvrVlCSHIE0etpCSYxlogSuYSVoKZx1gyfYG5CFYRP
wcfI3/AZArsRBx5pJ0MKFywmAkVpbZxcWpGX7RKQokZ3eskGbYLQ1D6BkhNztZUpMnk9vyesWNoi
bGWynIukGouDtUSx+DWvi2dgSsoBvgjAJFuBOhsqRgJxo02iNZ616qvqnfgpg7Xx6vl6erJ7NRzL
IOgv8j4EdgRv5RLJH5l6OAjXtID6i87i/TKmHEFtMTFNhs/hawsSe+jPzcZqPOipZkyb05jHB6c3
qx0m+OTCzJEtOkVNcMZEEimd/HRveU11mY44IyqzbFFq8I9Z1QHLoCprjqE0841Xd9Pe8Jj/NNrM
iWjpp289LdX6bE60AyPJpmDuidxTtcAeh1pzk8Z8OayZ6E1hdnJr9oPYcsbq6HsMsgf69xuRmNOJ
NqH+PIeDcy14Uc8TsT7dJo8Q5SCBrPs3YlcHhkXmjJgjU18Tn648gYL+I9lHS1qsb90bJvuLopYJ
IqeB3UnPlo9Ztkn1FxIeGcFyb1adRYTtSLrRXUG//CnL7HyTm/OwYUw43hiupNedW/bF4BBFJFEk
P9atZrKA9uF1NhITLgc03ExxkqS7zFdeUZNiGTr8rsmWZzuZo6OvFV8u5OPAj20332TM/LHQ9pw5
ppTrhYC0cTsb5G07I6TCqng9+zLSqLNn/owIC9IlPW8hXtj8EpIEzH3ft5wSrmb8o/gHkE/lmbu1
w8S9tlgY1nNFE1q2Yj6Y5AWsQ7+LjuxVXFQrXkgnq1DH3uN5texk+sYeuH9M4Wdu7Vo0RxQMuATZ
24i9hbJojznDPZFcZdxNHCDZIKJhe8Eoip+NtOYZHidi3MhL2jvTh3JIrGB3p+hIbpSfWE9m4ALf
YJzh902915mYhxX7RfvkjiaabBYFS3X2Gamrs5NJMwIXFd66LzLyEe0oAeeNXT1aPB1tmxJ1Pbhb
fKT02yrkX3kS93sl+ynZc/n9/KtCa5xcUhA3KGomt11BqUVG3pbKZFxMc/kyxPAuWVkncpPonDvJ
eRzEWM7/Lli/Yy7+wldHavPS/vnnBevnVH+tefx+koP+/U/9vWQNvL/RwRKIEMT/guf+XrKG4m/k
n6D6DIlFeffQ/V6y0rMCOOcExKM4goqSn/F7yUoHygfOjaKBuTe/8F8QLvy8u4dIx1aNyaLAK40B
4w/dLDauSU7Or3cKY1I6VEkl51q0qeYJw8u6xZH68sMFuvm+JfyPqitv6rRq9X//558d0BeIWB2L
7p5nLdv/HzaKOWdNsGvpnmzMxpt3WDv9dyoqMo4O8UQ+yK+P9/NG//sJIprleoEBDhh0/Xy8MCPC
JQToevLrxHvJQg5gLxgx7fZ/VZP9XJi/H4pbzb1GUoKIF0XJT6dGtG4Sd7nlnPJyAPnqZ+zC2hld
BSJA69zignn0c7rmbCzHu3/5LHmSXJ6GgLgc/yOkd2hyvk2Gck5aZGTXBBKjP9FmC4ogBhz764NZ
dFl+2Oy/nyhPoIVFEAyuRwH684mOkO9Kpr4OPiePAyHGpyAZMhO+at/67IgqG5r6EVQKrppJJT0Q
VKsmA4SMXWNtLhEev/5Ff7zJHiGeCIOA0BBD9JG+muFQ7Io4ck7B4HC6FAjp3jRy/vL/O9ZilLXh
zVg8OB8eKDwbZkHD1kEYSHpE5xj61W/L8a7LxF91W5br+HtRtVxnOln4bclKxRZuuksz5od3JW2l
QgjZOac+Sr5pASa5E6XxF3fzz64dixCNKw7GKvXhZpp95vitKJwTqcn1KQt6LH4Bape1NS8hHb++
UYv06w+ntBByBd1zLuFHKy+MOaufUW6cMpHi6rF7jskXkXyLAqLal6DJ3RcmoryktFnupqS1L2Iw
lN8/aP+0hfYnT7BnOix75vKqOtT6P1/ZSDAnj7zcOY1BK442il9SKSLCmKSheUJJziy3eS4U/q65
I7Tn/eUlbJCoj1Crv6ie/+wOOA6IQKgGIJbMD09UDq6TZCloipoi5Y5RxkD6U0dujFTh9tfX/88O
5eFAYBTCp0V8fKLwzKla+Y19Sl0ubxguyU5I91nqA4878euD/bzUs3zT7aCTEzp8Wfw/Pr4yaSG5
NNI4RtOSemHgwv5S2UTlzEssVE9tFvzFs2z9vAQvh6Sfg3/C83iaF5/Dz/cV3jdtJdCJRzNio+oE
FXIPjW/0Dr3EeJdqJhUoFYCFJ0Em7t/J4+XYotQ1KholiMCRZixTmvcVpHXyhao3C0jbUQKTaJNa
tA5+fZHc94HR7285LWeP4f4iQyTW1mYE9uH2M7bInLG0naMuzHIHEHPe1akHis7SeQeupZzGeF0U
maqjdZ3JydvivfduKbxJRUL/zW/EqMeNjNy4fcXF1L6OcCDw8SYz75UgbSvZmCpDdOe+52RZcei8
NAkhOwVOD3bV/DFFp/nCn5agG7a1bM2X0LK29+tTEDtI/zIu4Arv6nQD+sFQW3wvFLAzaJF1EkaN
dbDwcBPBTSbZsClDGOEkEaWRjekxtVFeVw3HCLjS7+rGpqGdtHJ6h0oR4SHMrQSeHnxaS36ZmAfP
eyOaQ+84yCXEpI1LtZmUBWg9p1PymmdF88WXlZDH0kqnOytg12KI1iA6CHB6+mwRogiCYoZDR0Iq
LpFHrIc8e23uveQINeGDZoIAMSsk7cySyxe6792XcsrFV0ni1aFv/OZOeW25dwfInRhiSTth/e1x
wmAoKNfWhLXTsBte0pFRskPMJIJ/wobeU7YmzF/7yCYVTmngGkYtCCR6Z9aHQ+TfaR3Pj4JW3uv3
DLX32aE1Kv2al7FYOmUk/8w6sjCfTgqciJy4m6B+UFRGFVe5zEgMorkPs7sz8be+f+UqvtTgAsh0
X01lojI69CO0jcn3ebIdEsCmVVlNs39Mlo0JQSAYVhdWvZkJMpXQcI7bwjQINXNRTJybtOGpyRmq
vvjeEoJEbSqBq9bBhAHejHzvKJf10sD7oPfa6el+CZQvzZoe4WLsxLH86tUJ719txoDtSxIjzolR
Akef3jMOohpY8cYHnUKk1Ds3yKpsnmXiX8NHTVCTRh1G1x1eCfpXa4lBbluS/HaI0tl0tBWi3rUE
RHQ1wz6M10QNuS9oKd0Xb5FQMoBQIZ7lyVIQ92dxmOcB7pSIPee56vvqPpjT6QppKnmZtIUsDA6F
FezorapjWtTMSgvM6ytdjIhrq7nuNqaOvHvS2dJhBfSuyleoxqczEefmqXSSWjJBDAHIuhpso2tg
Rq/m6T5nArHF8iLlMTcXkArPJLojU1e3LTLUapVFXflWu6r9FjgzIAvhd+fQc9FDTWPG8LXLWZnW
c8HCNZDEwEUwJvlEO498Ee1O3lcGo3B+GLFc4kBR8c4k6RpUVCfTjUV5vu/rrj6HaPaQI886eY5t
CMYgeuQVFiJv31RTdMI44jf7QA/eF5nis5gqOT8zWa6PsBrjCce1Mz9XRZNvAZfNa2313MYgctHA
5UP1nMnMbzdVn2gaDsrfL5tRQkTGRqMTUaWBBTmhY83mZQdCpl0WJhQ09JTuulwbF1XeyItMIZqZ
3G56I6N62JKFZ9xCTi6f0rzHvDBBaEWmhQS30eRd5erFb5GqBulskOBSwrvtlbUrZc3/KDDOS7OR
5d+OaINBqUusjecXdt2u8wbTHqorGgZxvdx5OVyy06U7b1vgJ6q0p1MZRRwIina0cbo4uQhqgNUF
cJHNTEzOVpR19yBzr5HrvtI7QLvTukrMr4Wv6yeCXcQqDa1xpw14ul3B7yBxpLzlq0T4zczyfuk5
DWm3sckd9WORXZI8Xd2QwCURVLU81AY2wPZlikiWM+i+6ZVegPPbmh5IdvoePyhsMJ1rVtv2NVYm
CxJJVHjNSRChYwcq+VH54AO3QTe6IIPAhQBHgQCCkwISxAytGXxJZDnjDZ0jY+1PhTq0OuR7HHQu
qeU494m2U8Xyf7NGqfd52rIEsRovmh+0C8ZIHaU1Fu6N18/oDqXDq98lbnNwRpTRJDLmCPwkjy35
Qggxybusii/ETsXs5xJwIxb9mXoZfWg0PUQ8BfLbJHsH9JCPSqzwW72tMmd4KwNYz2s3N9zPeKsI
70pCfaBfiw65GuO0I7ArS37TffuSSdfeuk4aQxeYWD6eihn93icU2ggRApEEZ5jjqAqKNN9CuiWp
3vDm3RQsyKowLgFW+87w0LuqvPNi+Y1E+6eRYcB13or2wLqKAkuEqNucTorXuE3i1zlNh09x53Pn
eONx2sP8DZm5oNNf9UkKDbEptH9E0gcgfRwKWaJRYh1f51jJhgP+J/PkNPV01WhclB5qSaxuZd5Z
K4+7gCUFkP2jUcFJ3YJqKq6IIHeukZwX143ldHdlGpAmV1v6q9MbxbZuZ/u3OvT6EzploMhuJFJv
pQMbMSkpMquhm4dwxeyE5SKMgGmXgXOchv63SBrDp6GN81ur69CxprH7nA9eDoq8SEK+lYsfrpns
+Bw6U3pFnxi1eTjgkUz6WL+IFFVkSYYI4eRud2I6D2zRgSGi6LlN6Q7KLfjI0RICmgBG5XGXFJV9
7+VSHvrKnj/JNAE/MXXzbQuXAOx8PHzpirbptqbWTnoc03F014C0DFToEUb4szcCnduHSacPVLnG
ZebP9QO6DQDeBmjsaiUM38wRyATDeeAL/83qG33VSdnvRz6EpyrTZbGRJK8yd7MoLxIWtz0wD4ug
U3YWxjru/f42Fv2A3SmLaLIB1FRf8rG1MU8U7uWYCpZR25xCuFiYXQmSLVUXweKqxVXrT7ML971B
/RsUvsOCaA1vtfCI1QwN8NmxJMLQcRq6lIU3H3Tnp3e6tJoHIAL6MSgQWPYj2qI5G9NVzhQe+VyS
IE6eM5/xxuCTokO8+ivtbL5DrcmYGvF8WmwcLtVNP1OnVAV5kWsXLte1MP3xwVSDAQusZbKQ2o29
C6Ag+WB2K3fXaB98aS3SUO87nt1vmPXGzzKw26+DC8908PBX7UzpEf6iC8tlQlMXPnLegJEeWvUm
3agE6fbBb+U3NxnjG52VNl+5VLdHG+hETbMa+SwEtWYCMqbwdvB1vjZQHW6F6UXtJowXYug8jSNp
urWPZK9z2uCUd+hIDcfvnxIiVLu1H8/ZtQlj1VxFsiquK5JBW6DCo3GbEFSz5putLYe5HlCX7nGk
Axs53yvYfzPG/qoXSuFCa+Cf90IfUxXjWaId+ANC+Psf+od6BzeW4/GvBFqCBRVMP+N3C5fn+7in
QgohVAY/xkSHhEsvzi8kfDTXgIH9byt0SZDGYU8sM59rIQQJ0v9CK9S37J+aE/woDm/TbPWWcoyG
0odWSNCTVMeXxUK/M1Xg1tntMuULXUYQUwMK3t6OBChOVUCUYrekKjL3QbpqUqSQqtOd7Zr0CqYh
9s71IyvaKt8NbpIlp1EtiY11RVQCqPjgoona+4hif6HnNS+mLZG7bRQX+EEro3oULWpBWQ5MRXuM
Va9uVPE5ThBBONPovlQmsK81m233xZZMwFeLkuKx9WrjLR951Rn+leMb7OXQz44phsYzr9RWkTsQ
xGN2MrNcBnuvxwg12A6RF6vY6Jxz16IYZGJVG/eG4wKJRcDcb2VAO89niL/SZUqIhs/O42ypEYV8
ngTPRV6A5tSoebgstRAHaxxi8GhWx8bVW3SJSJW2UTDA4rIabLvwxn9zyrk6MTyTCHNnZ+MSzvyk
Mg3y1oocRt6Mh4rIHh6FyKaF+wqu1CG2Y19joboBOmT6+3dzA4pG4wsjLMaZemTwb7JDy1NwJ9DG
qeAeadf07drHPUA5pfByrdhRk7QWvbc9mKy34rrBjEeiJY3OewXK8aVDA0nQWjHIL07sIBIOKfTG
wV6uMoOfeEUYrnUf5sjWCPZG5hMTGohpTLpLGWMXbLHUEgmsMbCwXrWa7ZvNUgUMGCUN6cZJyG7N
UA0Jr+9NHkuBfafCoN/DTob7GkmkUqumQwVDAnDJn3HtKfcv5RIFK0I4Vmu3LcnOxqSart/ty23v
UB0VCYzQTTy64WNQ5wTFVS1Z1AzXoUOrYLE6LfzYe2G5nEbZ0f4e/LrDn9OG+KHh5b1IrHp6z8JL
maFGPZ/CaqmBppLIbVrY1M2ZM3NC72Aj+LUEJbX5TAguxmd+wAB9Kd76MQh3nPYRUdvoNqJVHPVs
E10Y3dkmIOXM2QQ+9sZz1C/Bu7qNzPiilT01Zlxn7SvWLTzSWEzw7SD5x4nPZL/YF1nGjhcgS697
QKtLJC3tHf73fND5+wCd1byixuYKqmHk38wNQjjHQ9Y1UgzQGtCo4by4M3D6EmO6ijBt3QTkTVy+
H9HzO2rL3qANgrKEZ7PpF+5ENpDJPKicUD4amhSQziD6ec/Q3nkx0SQQ/RmPdDVMelsNWIJ+1bij
OsC+dZ3b9+Di3F5oA+RuKb3Fh0HwcyOWePPYLjitiSn4JeFh3mdnwZ09vv/KAMVsfGAXkFZr6Ov8
WFd6PGUGRco5VORowDfSsPa0R+D0Ol8iOT7hS0KQVxfLLRXmcn2CjDLs3FJFwaqiuzepmn8OpyUx
73vKtlEjRMrrJRT7vePlDwUrlJ/RFXJK05p2aSOLb/Ps8kRmnrE8U5aAFRW7RlDu665fTO5WOXbr
ROYjEXZ5O2zakFEt9pzhDkIou5FsIsGdJ81em3WHQ61IqtJa0Q2Vl22AOkO6AcYcYTQQMOixbNm/
xUR6o/dfgEnRKQun8JGbCbzDZipxlyVTS/L00i5unU5HO4xv46eep3ifDUG5w08C66mPXXQMrf6a
Gdh1QS3wWhRhMX4KPKNc+wJ/y0ooLOUrspKNS7qJBmdX5rUN9gdmxLodVGFv3LCisOGSocUemaUd
BsYvXxsKXntrVXVgb5Fn0+QQGh9mHDN8wVLJ9Z3GJKII81lBOgi6HLAcrgfLdbaQDQXKmtYeaM1B
i12VyBEv7HFBERZBkqwVXwwMNbK6K3pYANitiqym5E3EQ1gv2T9IC94cv7SPkWrTQ0bgzWvh+vNj
EHejv4MOmV02ykvfbMhR953rThek9L23CmkgpsaDygz1iM5Jb7C6tBjMQnLC4ZQRG0vW/KWFsId/
N1Y7M8BCWsXm/AYkAyOnDQLyFNASWxIX6dysyjmyv9AV1AAzGaKvGbRZiHZUfoVw2t24hEQyQx9b
huBpNPuXbtyclafKN9cNE0xEAfIdfD0NDqh2DM4I8u7IICbjCNmmzS4x6LV1WYAeb25nx8ZvbII+
6+FEz0TtbnSTy6sBS9IqN7ropuoVq8nEpjY18IpaVfVkxwNksTbUc7zvaUReyhwGwUNEIfs4JIX6
BM/7JnH7hiRN+mpDrC0UO5b/qfLJdIYY1wbXDTalQwrqeUucrvkUi2E8OVFwP8fC+9zpSexr2Hpw
ooeqDnk/ZEFZo8ZwiwH8MMoQjbwUN/T86pVXysSly5aY5KnP4CijpjVv6X3W21FAQKDHa610Bq+T
yoqInW0xmBXJJVEyPEfQf4s1ZZ+LU6fsOhjrTVF0a8Nyii2Cg3odjGZ7L6o8+JKK0KQVQ1DOdZcB
eiiR1lz0ns1TPeAGG/m8n+Bhdmd8Ws+DCporiVK3haY8Sg9waNRe4qXJNj0CzU9TaDgnelHWbW55
7bcepuLzxLS4eQEGXfS3gFMiEgXJAaJllldr2agnMc3RLQVLtMk9fFVsBcfLvqWfWWi2NL4H8E/b
xrVSrbfVAm4IbcryrWiH8bJZvIVEx4hb4nj7L7Tko00MROImlKF7jU4KclteEeaywtsvzxDQ8yua
haLaJJ1p3DrQmTe+0w1bLhd0eMcbj1KX1TNqXDxMtXyIOmnSi1OPLZ/ELWG2Lh1v84tFLFI2ZPrS
mFznaRhiG6t7PikKLW2RJAHfR8fIWWyEWFedr8DnI3/LfdpZiYm3lJaaHKHHJK3DGQZoXRLHLjax
hK/Mx884U3cKGHrJZTkE9UEU1ueIydsqLjwMXwLBEnI6dEhjUWwsTBmshZi1EjjMfCnCaF48sCTv
eHzCd+gJTDKvhbRv6c57N0Go2k+1olm1UhjBOJ+ETtc8kgrTwtRTubuSXfzgmY11qnB9AiEcye1F
4LUL27L8lGZQDTG3Z8VOUOtvRlGACpHmaKy6Fmv9atJJclMuoH86wtO9qVR/mrRtfjYUf7DH33XF
CtSTtg3EcNOW4a3dmv1eVh0twVY48oThsblLXAIR6IvqgZZoheU/GWrr2DlZd5umHqKWyLvAEQxk
MUfNauoiInis7B6TLkE8VqIMcy0QsPHYxw89pkhwUmPLF1fbR0+W42E0YzhvYRLsUF5yH1qVDeCI
SjNkvuV3HvnbeeLyJpRtvpajSyonMbRsvJIwXjV+WezlAFBQhpx4D4fzEzZPnzi0JsoQm1m46DKd
bmDiAa+NQBWNyiKAliywFZnGzmaeYn2qnclBrJZM3WlUTr0bhBjxHbOe4gmHv7j2WW9es6bzviH7
HLZp7rnzIQnb4qv0/eYQqpD217K1wimpcBBO6OgIDavXqGU9cAgNwWVw6unUBd3VwKB/ExFxvZ56
QsVzEjhPRML251kH0n7g+5ZftVUBtnxdhmN5k7Wpvda5i0OvHGPvroCmC8zcCNWqbzO2BdXg/JZb
wox3IXxEXiCTvWDuWfl1zEc27ovxssq13mKwC0ccfkF0q9kGXJFWJFl5aRI9kZ4ELne2EbLCyvkS
g/m6m6MB7GkZJ7sm76ZLV7vuuakSYozCpjFgQrnd0a6L9jRazbQPqnS8sdxW3ydDeWyG5iSDedw0
oWiuSwjHXz1Wy33fNupo9W60V3HwyEZt2CFP2/S+cm6R7xWgbfo8JyBrLOPiCBp6sHZpOIMRHBwl
szW66TpblcKb7zrblL+NeVkAYgxF0dNqxoJoExxBNAZ+0bxTRvl1AipxY4RkTBhInYmbkPS7fgta
iTh3quA5qe/JFKXB4nYRjTTXQXHc1URYyPcwC5pMBFvYlfnSDqG8Gl02cmnAs3BBHmzEfc6mfBvk
WeLfhUDnzM9pyd+RqafyKrqhC93sXJxKDP7Wrhw+zwlmZsdWQezfxEI2N3z9LtqSL+jwFxPqn4UI
wOpMH7URRTvgOpM6/cO4PGezhAjXrMlRXSbGxM6zTeysgp37Dy2DP1EHfZjffj9QiBQpoAy2xUdn
RqDYzDcFByoSpMnUqYw9UCqzV+M2OC86DSizYrKFvRUxA3+lt/jj0fE5LKqLgMG1jcDqw/QYr5hv
TuCHVSbFvTcMiDxJe2YrQX+8hiLurbzWZz9oDCU7+F+fuvWzqma5yPidF0UX03IClz+e+wAZIoIT
Bkv6fSTZDzFMJTB74p52JRUUniBOvnem+tTGS0C0qaqOGqCK/WIZ9ln3v/5BH8b3/B7wgHYIcB1L
leN8/D2EAMLmiClmaNg5F4P9P+xdW2/iOhD+K2jfkQhJIJHOVtrthd6g3aV7qvYFucRNDLmAnXD7
9edzIDQOFHabnJX26DwCYTye2DP2XL6B+8FkXvNhtWwLx+basfQpU01OkAIwdM1CBgoi+AbOh3AP
5dNdUKO7RJmiiC5DgFzeAnRk8iRgjcm4HgMFqxklQ89H1lXPnVmJfsU5EDuWiEXVvaA7Mkc+zB20
+TmSfQ1+F/CZ1gvg4J9cc+S+/D3zEFOdjQG+8NVYhQOc1YOWcBpuQ7fhxTHiVb8Jzzw/R/MLfsmS
BHeLycgkkTmbx33gl5jiYhVrAJg5DZFfYTyvcIlEibG1wC3dHZg6LnguLqBANUblT1ufPM3hinSg
J8JXazUL+zrgVIFUPBV4HtU8EwDiAHD31sWFuC4NZgO3amS7flvVRSIu7BFuix1EqDgwOQJMx4gm
WqvDPQ1RWqFZ0VPqAAla00263P/uzWPuzRbuJrn9sdOB+BFogkBWULyb6/9sC5ZRlWwit6mFdE9Z
hPzm3dQ0DT+h15mOugesbiz8rF5ZlibCB5Yhe0q/Z5bn2ZCwn234PS2gScm65V9xbhY0OFSLKcud
UDLdNACersu9l0slA8C/hur36byXBI4rfFT8v+SksUdzywKfXBbLzgAF3ckXuh9MFhjAGiEuhPqL
xCZs1mP2qXesLX2qCJSxkDeG5DGAegEkCXawkDEDPDfNN5EFgG3vI7UIBwt4RoCV89W2muOp+SxG
C9caoqbYihudxgStbFew9uaShdcoE5+6gYMqbqvtoh4IoOF2u4MexI0OIoEJZYjns+A24UDCM24a
CKRd+cIeDThql5HLD/MUDR6W0/gC+WvmtYhH2v1oGo0Y8iMG0xCth8ImOtPqHNnazVmrjgKY+Uy3
cQPwg6k37uMI4844qoNCpNacgQnUI7DWEjVuwBC65lD8P5YLP7nxB1Ogl6DgwJ9foHMPWjPctNHQ
4sxcALbG0gCI9IySjRYuvuim8tWKmxwA0LJg26i3J6ubUWx79f4cTiAjPNdn7sCuA5wLLd8Wg04b
eTmik778/4zW2ExEburztFL5W0L58jsVCCOKLGRw6jHfSX9mVPzKA+8TyIVCsO22+zcdSSqk9djr
eIn8fEIcKJkzxMU4G8Z/SbZzP6afUSOc//tmZru872Uq+/KSUU5QSgLvTczi5YbNHgno509ffPJC
1FYx0EEIlbxx8vmTwmdOURwhLMZKeAjIAti6pemif0QUqoSRSVkF4TEJBREZJdkUE5Ye57ayLJ8S
n71GvBAtg9MLsa3StOHi5cSJMkqS63aa2F+eMrqEDmOG3sgKcRi27PNeK7uNGR5aHWfUJ3PCaUZJ
sm1ZssC/LNvZdqpFrzWo+SR4UYOUOOFWsApRfsWZo65CrSGrl8vy36ERIqsqZTjwYeHLUr6ExBnL
6KTLW0cnp+yLj7/MKwftpjIyKV0jjbaWZfjK9xnagas7Ev7XCtbfVegwUtAiMkqdzaKEMKK5+vKA
3IDTU1lZ3OzqJhRbVLBfbsBZMhwvMxbT99eClLMvPi6K2yhhYkfMNsDDytPuEhYq2kOielTAc5cg
oYeETsahFAcaGlfxCrtECDJElhKNY2VNoy7BqEIkbOgxlyjVaQji2xXs8C6THaOjWFnZaA4nczrK
ruwuE3ATAw9/ougmBKYbFVGPEl4kXQnjAK8p6BBZ+WCXF0mPvnBSOD2hakU2kCgr7R6dEdVu4a4k
74flCc9rlySYCI+pZh307QoUYI/Oa9eUC7rMeE23po6rd/bFxzWVJN6lCzZUzBji61VYdEn8CWGX
jM0N32kTkfeBlH7qGNUDkKhXOyU8gqVUNyfaclRgHdYDnJFxce8jrauCI8mdx1SJG1gtmZw+/joP
NcAsKfG7d/vBlCR8T8NQoD6dFK4JqLpsVmAcvnuRQ2tXYse2AWG9ghfZPwrrXlI86wF2F6JEja/g
PPgA6VMhqHKk0FEyWIFmfKAL9Vapg+kK6L6HqFhS0gdg2cpSPpAzWpL0I4HdAeSs2qoJEQ2jAiX4
SEVc25vwCtdvBYvvIK5AWcG878g+SHmfp+lEcUmdy/+rvrOjD2y9b/e4+4fxHhLHn8i8WntIbA4x
6RVmfU/cWtF0KNX1VbxeHrY3ueEyMqkhl3X/GGUjr9xTRdFsypXfm/hPTit1dR2a1RfVP/YnTArn
LKUJ2553VTxD/RnTAshkzlu6b1rp+e1LQOEA3h7f1nMD0kiMK67Ex9y+7tzqyq9BAEO2cWr6fatQ
erffuNozrx8hi6lT68ckpturbjavJIylN95lUlkfm5tsWrcW4m/aYRvjvOVrz+wUg/4nrMS3BbJW
QnvmpB66Jzgm0vXK+01iX3vDD0l914v+L4v+2MxhquQjQ58SfvIPAAAA//8=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14808</cx:pt>
          <cx:pt idx="1">33145</cx:pt>
          <cx:pt idx="2">5599</cx:pt>
          <cx:pt idx="3">23161</cx:pt>
          <cx:pt idx="4">1945</cx:pt>
        </cx:lvl>
      </cx:strDim>
      <cx:strDim type="cat">
        <cx:f>_xlchart.v6.5</cx:f>
        <cx:nf>_xlchart.v6.4</cx:nf>
      </cx:strDim>
      <cx:numDim type="colorVal">
        <cx:f>_xlchart.v6.7</cx:f>
        <cx:nf>_xlchart.v6.6</cx:nf>
      </cx:numDim>
    </cx:data>
  </cx:chartData>
  <cx:chart>
    <cx:plotArea>
      <cx:plotAreaRegion>
        <cx:series layoutId="regionMap" uniqueId="{EA7BBFB6-03A8-4488-B677-DB6A8381F6EB}">
          <cx:tx>
            <cx:txData>
              <cx:f>_xlchart.v6.6</cx:f>
              <cx:v>Cost</cx:v>
            </cx:txData>
          </cx:tx>
          <cx:dataId val="0"/>
          <cx:layoutPr>
            <cx:geography cultureLanguage="en-US" cultureRegion="EG" attribution="Powered by Bing">
              <cx:geoCache provider="{E9337A44-BEBE-4D9F-B70C-5C5E7DAFC167}">
                <cx:binary>7HpZk9w20u1fcfj50sYOYmLmi7hkLb231C3Jkl4YrVab4ApiIUDy139Zao1H6pmRZ15v3AhbHVUs
kkAil3NO5l8fl7889k8P7qdl6Ef/l8flbz/rEKa//Pqrf9RPw4P/ZWgenfHm9/DLoxl+Nb//3jw+
/frZPaRmrH8lCLNfH/WDC0/Lz//zV3ha/WR2D+FhP4YmrK/nJ7fePfm5D/6HV//NxZ+evjzmzTo9
/e3nh89DM+4aH1zzGH7+eun8899+JhRT8vNPv377kK+Xbx4GuPPmKf10/bQ0j+Zf3Pb04MPffs4w
or8gxASniiIhGBI//5Sevl5SvyBOBWKYcCUFh0ujcUH/7Wcq4SZKpcoJllJSxn7+yZv5yyX8CyUK
i5xiJRHBLP/DQK9Mv9Zm/MMkXz//NM7DK9OMwf/tZw4Pmp5/dtoiR0rB63nOGedYKM4QXH98uIND
gF/j/2Nb1m+pHtsrR+ZmfWCGcV+MTAa2R1ploypocqldzxpq/JCdG6In7krF5XhmUoOOIvPrZ0fr
eSgzNPFyade4XS6jkE/W9XLXCCncZs/GUIvOi6Lr08ruM6+3fK6LOBMy+c+9HF1foLXOJd9329Zq
dYuaLMjX0cwR0/0kgpvWezq6KpQixYA+9DT1zVpsLCNz6bRB43DR5Fkql1xmBYkDX7euqDfeLfpK
xNFO+b0mcjOpLVFOEdnjgYXNFe04Df6Nz6nA+7xltEe/NVaGbT6OU8zJUHo0jOiywU037zdkH3Xm
3UHaaX3FST/KcltTC7eKNds+TiOSzfUXr/r12a2/O7VHM62uqfVXv/7j4/+8MQP899fTPf/48hQY
//h0/feI+uGvjk/m5L3+5Y++ezK40NfVnYLuuw//FIHfhsd/evE/C0CsGP9R/P1f12xmfPg2+J5v
+SP2IMAYhBhTkmLGOP1H7GH2S46ZQFxikiskINC/jT24K8+p/HIF1vBt7OU5gsflmCv8X4UeIepl
7OUc1qXyHNIdLI9C/H8be4OV3i+dSFe4mfrFiiJPAdJpkXNh0KV5dr722RU7MvQD+i188dLui8eS
Z/fFX3y5d62bwLPls6M3Ypy8COXcjg2eyyktbDwwmsahHEe1nrVZSpkuR07IEM/d3A8++mIL8xim
67Ff23EXY5P7QuXTeMWrdrkw2RDReduI9XplVfWmpXa6GDPxPvMmHpOJsi7RonaKt9NVO/jmOLTL
jAvOO/JGi2Yby0bPKSvUkLq6yF1U+0StTbvebbUpRC+Wu62L/AFNpOoKyGfxukG6cnuiQ5oLF+dm
KxStUX8cl9gfl+j6fMeVac7FUFt5o1SIbelX1Bxtlhl45rSGY3BdnIusz/pSD6w7myqXDu3m5FbI
bIQHj6ytlnKIVbwlvBo/hLTiuyT0GI8mtGGnvY91UU8rWUpfr1vhu8HtWm7j++DY+q7ajBSlq+20
nC8mX7qichw2yio0k/dV39qrxHF/9ES4PcNd3It6srjw2F0lY/C0k0ymPRJUT0XTJX4uKi/fqXZd
rkhIyh+bltlw0N6hvojg6ruMzit6bUW3JyEbhyMNfVUKw5etiG2QRePbNit5HKIscsGc2aGZ8WIS
cTizptK7pY5zfiAppX0KrSmHmsT6sJKAwND1BIkc+z79LqsGPWwc14eOQzQeuqpxezSy9WHASpGD
cgM/zmaZ7vHo9GUnQv/eoFYUFYo4lVNWh7M+6hrtiJO3w7C63Ux0tYd8LW056R6D0+AFx31d9/aw
xnrZa+nU7cLtdLSVm8vZsvpCq2qRhaFDdy96yqeC67n/jNrMnIeqJedhkMNOcFl9hGhwsRhbrD5V
Q8RNsfoQu2MdLHlT9c18ntwgD6SPUhdqrPx9zuIjSjzbxTXfdlXu1qGACGjOjZzoUK71ElVZixxf
DaJnF53m+YdcUHKMXouq4H7DeMcjqQtPhozufGXfcNa7G5uj7VMfhmo323p9NzfTcFZtFYRgliHV
FlO20X2cMn+7mmW8sbxtUxFM2zZQvZqq5L7Ld1hX5q2obShSpsbzUTX1b8H2w1LkoervOjaR0m/d
dIxhOAaTgx/Kis0FZx16zbWdyzUsVB3MyEiCzFLh6nKa8raYeZhu3VCpgxeofxpxt55b5U25aNsW
cVlVMVbhsUUN29E1pZLnDTtre6VKw8jDktbfeO94OXa1WnYqEum6naUczjEVk9XTLF4ln1U1vLbj
Yl5d8f+r4n8CS7FgOaC0fw9LLwHdzo/d+l1dfL7pa2HM8S9Kqr+jTgIF7iskzdUvUBAZU0QqmXP8
LSRVv2AGwBMBMBWCYATV7O9lUfzCVK6o4phhgU53/R0UfAduAMN//fwtJMUvICk7lUNBcq4oVQIT
8gKSUkiDLt+q+iLiKuiSUixfJ1xvByhf4QjQTF1E9Akq2HI+WcZS0Zpc3UUTw5mTQzxSi+0RhQah
8hsz/ouV8ZcVG5YGm+MoR0QQhhHJv6/Yi+crVLNcnMvIJ3OrVIdu803MsIas4l2BZ3PfYJaxfeOq
ItRUFdkUfTksaq4+5+OIX3tA49btp1UO8rcNEuTNqm0KJdMefxi0DlAj+jhthy2KLN/1vCXodvA8
99mOiZDlZ6mrth1D3Rj0DveJdcvOMNm5txrS55lZsqFNANB7e5dXvl93THo6FFk3qovczXhvyNru
F6fe2HzWbt6rlNNXGxbzW2WmvkjODrFQPenrYk6t/TSsA7pjFTWQFpibWijjBq1F3vEFH2JFdH8R
qOm7QxPXvi/ambLXo/W7LtXpAID93VLV2RGqh7uwdYuP80z9IxR2d6sGvuxE6y9xbS4mI/wbOTbL
K6yW9Sj9HC6rSseLJYvZrpGbdUWvWnFjGV2vxlofsqbtpkLP2NxlTH1AtPVF1nhjdlvX6/ekqiZZ
oJmn66w22ett7tRSSr36fWriclXL7R7NdX/r1rkplk2NsvBJQK3Lu4x9cn5oCzVpXyycs62cKWrE
Hcq76S42Iy2HKh9e8bhJHUvqcHdNx97Tt23tdLHgrLndNrtna0UOVvXpzYrQUoyajueLmPix74fx
MMmguxI7MZce2ON+GyU+W2g17eWmsoIC2dgvaDLnbAupxLYWr8Hq9jIXnTu0skcXNabq4sQWLzRG
fb2rRtS/nwL2b4w07e82YcnLbs6me+ub7YaOZLmiEcnPtdTiwKpg94OF3TsSQ9mvEbBWYwKUbx3Z
YbNpscXUTfqhA7cvKHFLGcDTis3X6Q7JmG4UYfGSJz/ve9aoI7O634dsGwuSGgobCvROh8EdZrSR
onaNBpeGAlwdUuz8Wm6WifccHlJmS58VVa7mPVcJP5C61eXQrusTsXV1bQfNdvmyuDM2sZjK0Lbi
gyfr5spKanxOomjdziS66nILclyP0RDSFpJ7nxfEDpKUXNneFIiqddfXfb0VwlfZG754JAuW9eFc
LQ5fqokbvl/AjudRbs4XA+71Vd2J8XLRCazH5morWWz3rY/60K+Et8WYV+xxSCyJoumTe7MlQM0K
aiWYb7PdNedtdaBGVSXJm1N06dyyou5ZFY8RAE2/I0Gl13JEDT/KzojzLri3Sqftk4zbsq+SZ+dK
tKYA+K2G3YQzcwOZMH2Ies1dMQH5RMVQbyPedY3rALCkMa2F8U5+HCup5h23bmkLg3Eeb+gwsfMF
b8kUg8plW+AY9HC1GhlIodYYz00NYHLnIYkMZVvl/S03RrgiNjW59T1Lr4WLGAjDqONSrKPvbxkE
xjGRXLcFcAGTHZzHU9xNbhM3AtLB5aBV3xRz1Q/vqjDau2amweyXntDryiZ7ldlg/E5Si26bvDVv
pCFZv8Mz4A9k4LoAH1V7h1d9ETfurhPR+lVDUvd2GvD4JucBl/U6D7thSt0e0jMkX4BQ3WNbA0Qu
GtaMXZFRJ175Zu2z9xOtNxALrFV3hKa82Us01HAokxPuwNCgntxG7cU64PShznVfxhXHOxyiPVvM
tNsykbmino0+Q6SNqAhWs0utYnuQKbp7Ts3WFhUW+jUGlvWbiUNzJ9dlwGfe+foVY2yairiGri+J
1P6jWUHBKBgeITu4te33lZi7B20VMAWOl3gd8iGaosaJ62KledcX3Rr0bbaErAMA6uF1fR3i75Df
1Z3KdDpYKfxHkSl4Ra3QdsUgNx/albbnriPL3iZu95AblvNWdtX72EUM/4DTQZ6HIO8o7YoVmbEv
5k1npUIDGUugPfIK11zVhVyJ7grksb1QS2qq8xjsfBlyIb4c21mW68sBuUwXM4VNRiz3AJkfW4rS
LuVsKju70HcNDtN5O0n5SlGN4a3DI7FegSPyjt4uGZDJClL/xvures2rx8WbcyXnoRA8W8oaD9ku
R+O0nybW3qzcyCMz2QQ3bAu5HSHQWZGaPN3wmaCSkJnsBr2SYnbwT5Oj7GObOvvaEbpcMm5ZX/pJ
jx8YV/Ex0t5fdpTLnRvMcjzhkk991plH8FJOS7bKBlJHK2O+X3Wlr4AIR11AOXWXNLeLLzjVkgKT
2iTbz2u2sl0anKKH1WWN2S3bjN6JNoRxb4XtPrEg626/qpEuRc1qUu1anwHdDEAiAO9rmR5Gn/fb
ceqamJVzRO5D43X3DpQNOC79kLE23maIdXcrEvfdUvFj2w71sKcM2G45ek2vfZNEKDAAr9uqG9k5
QCzzcTVVOIQ5G3YmIDivCrWrgWBpx4+U2wGe2cTPBI8dkNSKnYqoG65z6/GVh3QGUeTXray3SGIB
uItMRQ/sBBxEku4BZMwPPsNix1dMWZlaNV20eZVJUBbzjBV0XSpdzn2Vxn1m7HCXNAo3QIPW10zg
5n7pI6I74TGtC9eT7DB7f1erBMUadM1rzQ2wWQMhdtUQgflOLd77MrGGjgUfWL1XvY67ql3lY2oX
+ylXdoqF2zJ1IZlPJ4DJidsPrVH7FW+BFS657TxvhTSFMrO4CgPaWDE1/UyKJdukLWTbxiuLNyCi
CfJIW7oRJOAS4In7jbRyzV5HygZ2nKHov4ao3VKBwAeqvTK9uIitg0rAmma0Z50Fe+6WVOkKSisD
/GV6mt8vC5B8Y2Xmwb9WcZmDhrEUWtHpmBvRt9dOr91SQmofbtoxX945ouwdpkl+tFXeHo2oXSi6
psseGa6yixzo9ni03i3APusB0ULjDUqGlXo+NsOEXxFQJYeLfGrUbT3L6Xc1ItaUParROdDFHpWj
iVnh6SzQbpmtpuFS5Csx4hlkf5UTv+MDf0iXz4r1Hx//XxY7Hw1IaKfmRd2Y8VuGRk4a/78ndW/H
Jjx9/uk+PIQn/0/3feV1QgCvoxR0DpABFf6m2YAl+YVjohDQNECrIgfm8lXvlNBQ4EwCrSI5UMI/
WB3Of1GUcJBxMJEQpET+N6yOgtY6/aPRcHojJgj4HCVSKJq/pE49bt2IU8efcmB1s9qTiU2gyKEp
Nts7zuepe2CZ4/4w2tVDogxk4XopM1OhT/Xo2JiVhiydvFCar/Oug96EPUtq6P11z4cpA7DTLXz6
xLvQLmaXCYgSWtZSMvwkF7POd71eZP+Q53yqHulArbipRWMnCgiv8bAUBo2N4RZwdEjjru65A3Jh
Eh+GKyxXC0uuhwGvl2SgY/t75gHj9H9CMOULGykESFdxwZSA4yPoxIy/acZIPDSzFjp/qpIZW3sW
Btazs55FgHFngLlDk8oNtOLm9x5VDakO33jUv+C3GETv785IQatJUsJofmLesJjv37+1NAcxSDSf
W9zRrimDoVDBChD6Mtse3JIgqeycDjXTRcaybRpfJSBjnpSYbSLRiwCiqe8KYywwohsFTBeu/XiR
J1H8Gz+S0BajLAcXEpipk1t+v8ZFNxnRjmafAX5FRHb1JmtpD33OAkXF6IIQHzuOqnD+4/e+OJvT
e5likhCOiILWwIv3TjOgY5PR/HO9gs+JIqKp9+81q8hYF6lt5uZ2rKAHGgqtgXqI4sev/75XwOD1
kkHDIifQE8kJxND32655bDK0aPo5k720tOQJCf4AgZSFc7M1sr9pMmzwNe3sOt93HqFNF143PRjl
v11JLkEyFhz6IECWXnYMtdSgaK/IfWYiQcgdViw23B24S7MH3QOYkPjoZjCBLbyQUnwEsSA6tY+N
QVP6k1OB9PS9N3ACyhbnOXRP4WhO/dpvIyaIBpBKN1aPldpG7o7GTkO17rNq8Go9AjVawEV+vH/8
IpNJxKFnClECgUohnZ7EuG/fWaut5WoK2SfdgN6UnS1BnwJiWIwG+RQkE7axshn8CjhoUYSCITjI
HfP9MIl2LccMu/FeDXpw485y48jdAIKC//TjZZ6kqG/jBGOKGEOMA8PHEC0vcsmcQMlGdls+LS44
cAI0dwjOBy2J8qxYHI3Z/UQ6ewqakMzpTzPV85+czz8ZC2MhmQDxQuWMMkht3xsrt8SH1Qvzaex5
Bjm8hewFaCiuKKz8klYc8r6vZ9c9DC0fIaO6aXCYn+VZm8WusBqy7SnzrxruGputj5ds6SYz/Ela
wS8DDJ+MJImQOYETFuKltAfi4qTGjX7yFRHZsG+Dn/r5ld1CM41lsquFxWWgL8I1s9rBrLu829bs
Pk1Tde6V69u6HLYNrcB07RiqYoS2I3SrZ46y/k4Mqt6GklCAp6QkWbvi8QJt6tSV6poqWfsnYYrx
CwcAsJsroUCPpaBZgrN+b3nwzNHGMU4fJQgaLS8nlHNwxaqalXIl3mQGqb1an7NnPzO4Nn9JJxOu
cri0pECFPcyJ/nkMsZdZnADaUBBIGBN6it0XbtEtnR8qbaaPk4MosnsKvQ52TbCm6yX18wrmUFXs
t3eDXtZVFiBUJqtLSPhJ3NV2q7IzN7B2e+ey2YubvBEngLCwOPTq2M38dDzGUwUutEbJ493k2m57
t/WiS0BZ+/5UtBqwPhyQGUFo6YCHgET5Lh+WBc6O8naFP35Ddch3E/fUH4ScT2fXLXUDAMN+eb3K
62yFvopZgEUWBsADrLzJxhM2CBMfuofFg/oxHVR0ON4zEAXClXNdBVpmPzgYLsjqaljOagbF9cOY
jxV7F6F1Bk4mcxjL+D3a0QBE+XFueJk1wfoSSQmdYQZjJxS/cA1arWON1dR/3PDgXV0sBMnJg27T
mv6czhbUpv2P3/gyGxEJuYhgqNvQdFf/9EZoXHqdBpo+0G0+OWOa2Sn9ES87KN4iWi4+Vi3dwAkT
mYOvryUkFvDTHy/jBGe/y4pUQu9CQq3gBBEGKPn7oNhonG2mxPBuYOMQKLTbZp49GastZCPd+RHv
XSVN8yr6HOShYgJ6We/rPBCQXnIpUw8Ml9T2sq9ycb9QaECvIBpjEe9CDiy5tHxbzCU4EdJFi1jV
TNAGFvgU7BqBH5qoAV2cV20XTpEfYWjhlkC9n9aCdo4u8fjjHb/MazmFAgVwA3YNu4XW8Itq1YlK
j8l6+TbOIwIQy50jAGLjdvJbINiMnWkMOq8tlk5BO74ACenkvZmYTi5N5zaR6r5axOlLYpttcGfN
ROgpRdrNI3yw0K6Abv/G1w6irkrDCVPjNR8gOiW2EEY/3hJ5kdlyQEA5lE3IanCCGKMXqdrScdhM
O5K3edAwhHAIU31aQICm+Cl0v8QxQWiFtVV6OYU45MpTSnGThUKTaQwwHi/89JWxne8egLhLdtYk
mMKwhV2TETeVXeBXjaanLa71IPyhy6SjhwkmF6gvV6gXsN0/2doLlAlbUyCCEAyhgjg7DXd9hy3C
0mHZz2Z9S+t4ylTBWXCtrd8a8xig90DGYg3Gbu8kGU/1ccgMhgNZxNDX634bBA71QdFsTm8BpTow
R5ItBe+jcYNsMjaZAhdjqZ9O2W2GtHnWkClBWguASOCFTagQfAKOhcEUIIiCKUKQOgsl7+cWQkIr
0sKnZ/ucUmEHEzp/ENtXzxjl2wbgixjNAS4AupKE50A70T9BXZw2JlZhszdxkCBbHJ7hLdH5ErsS
mKWuxz9LCy/K0emVjAKwhxEL+B9Q0/dmR60B1Dot8o2fMXhIWEMAh4LaD/Zh7cSgI1ClzICiB2L9
CgbvYzUCZIGkB1ZKbunDK9Ba86o9VIHlkAwgIOOd6w38ahkyCPywjFCovh5bbdMIplz6fIRYgSg6
HUfdLaeDyNoGwx+1tireITMYWAnvOqhNMF1x4qk/tjZT9PucCJs/FQFIEjCEBCjoJbMBOOizGi3r
G61X0UPbcu7oVFYJVe2NIBtz695qJ6a8UDDj1OrCOdvYC9TPdIGREkA72aWrh4xdV8NJ7rTJLPUj
anp0lqqZiV0nR9N/Zm2/ubvBiAGGQDdoXN6yiNGy7fJ2VHwqoa3H/HxIiUOHwlldLTC/M6ABX8FE
B1a7cXQKl+0SZmitmiW3oHfDiI4DObJeugjBEDeX1h4kOt6y9qAInhlMi4SVnQaT8Jzm46SSxhXg
t6oO50FLQGal3Pq0bUBrwRWn86Vbq7mwfmrFISpZ0x0fsmV7k4QhzbuZ9XW1oywQXK7AT81aiDp4
GHo6NSLKmvf1mSQ07KxBabusQERDR5ywJoc687lG+6kzA3u78lh3GfRb0bK8WWBAI1xnPozZHVQM
OX/mTgj3dpOxHk0xwYSQ9q/VsvXdsWpA3ThshuUDiJOdoUSX0m3e5p/w0ObjZ00mE5cduMpqn9Qc
UkIljFx63J6FarQ83wEP4L04VkPWiRuFZdZ10IOaiO/1k85HGsDKC6a5Y9cbNRFcesMONPHXVKAg
0H4coXEhz2dVNbq/GvnS2XrfxjqkCGNOVd00h4oNaeZ31UioPRct03V+AF8R0E+Y4oagrPc+b5Iq
6owJCwNWldva9TzVPtPNMTUDVJuyU4lBgo1TM/P3JpsF9+fgHCmrykQBtuCbeQLUpYoAzZBF3PZE
SvgTnr/MGmjEqQIpYPWu3Ixn9tM2W0XiRSvcVJMzvGSZlOXa8m6WxwUmhoYexmbiqS4injWwnZpy
KCoPS7UKpKDzoRWvb9c0pUm+aqusTf1BdjQj03k3ryqPt6KlvFGFVeqkSUgXOKjzsq6qbLtkrPdg
qWy1kLKvIWtbzS8zWjnZwwCgbXD/CgaAQBnfg0ydfL03DTR3XQkp67SkNWY9zKyiWq+N3aGpa12+
G0Gt5+N7UpMR3jecpnPeznVubemAeoNlST43UEFKaEOdHgLrB8hSQM/rhOlh5AB2D1NYeKTi0Op0
shjtQwd/jNchux8HeUr5LAaYzC1VCgYcYBsBbxwDjH7B76bnrerANzCfbWGaWUIt8RW8rdcYSOaI
m9Px4Ilpwn/D/XKy88hAKg+7bM4cHEU2drlmT9YCobEH1zSAtMqU4xVmxJpc8zmDE2Sznd+Fdpyb
EeyV6c0c9bwxvFzn0L6CpTRw0tN2L8Cz4A0ULtlPVbacHEy47HTyfM3gu14NJ9PECG3zBkpsbhOs
IY4eXlt+3Y9zlNpPILhp+I4vMJtw33FWKWj6JAUCUDFB1xls8dV7qs0reKRss9PmqrB+MQZI5XB+
XzGu4hs/faKew6gAalx2/9XU2fPP/27k59+BUkC6a0mmARaAx0zHT10jpsYdYfZghU1bssHsfVET
WjfoHgh4baDf+XxQZoNOXL0H5j27+nzEaq14gTsdVwEzF7MBK0Uy9PATMoHG5kqQOaqoig4msOG4
6wEmYyBGZY3sJ/VsQTNBBEFee96TJg1wtHIyo0j4bJ3zEztHz0f77B6i6nqwj2AN3LHnsj9tfhGr
Bj+tsTu9RjMt4MvVWCT12y1r2BxgoFTTk3mfHWmbV5id28MmT0/BjfNwH/TjYCCt8EGflv5s0GxL
G3yA3gmMwuwzxMeuPd8Il8t0rBGISAhmPmYDMa3a+qR8eBg9/dRESewnLOoR3Ae6ScNp8y7+Lztf
thw3rm35RezgAE6vJHOUlJoslaQXhGVXkQA4gABBAvz6XpR0bpd9Iqrivnc9lCJsOZMDsLH3mtDs
3mpg2dsHQliAH2SuM/xoe3/bDt0ab9ffm6RulieziQnYvq8zfG4zRkEdHSFtSIPpKvpcK4zrfEoP
X48857PC5VgWCXwIToABX84lEzjn52BcE/8JnRvPwJ2P3tSz0tc1xZfHvBkwMk2tBLbZAjAAZIPX
1JhTOtTbdjY4X/FnwpmEZ3uBZtG6c5Tr1g7HiQx+14GgIi3kB1TXgA2DPICmpWimEeIT6Gq9uL1A
DIL/u24Bbhf7SwCoaASW315mMVGAAovi+PagqYf5OekptEY76tZt7S85Sjnf22gMUWEy1bQm27Ud
jthuZ72e5voEE4Ra7aufWI56U7fDIMTxC07mU9sovjdNi3n3hyOaRNFR8gaP4xB97JlxAPWJ1043
/dNz1GTDMj2N0dIsyXH6vHWb1xqPKJJ2FbgjUS863iWrH6DKQam7Pb7Aym3VAK/alvgnfpppseAJ
BAbqLw8EJgvxQ2GB4/dHBvTRg6pjBa6ckxAqqgKQhUu6m0gGCr+RuGCbYefYaKyrT5BlDaCNpHvT
j4qGp5qOKz5j/YTeKMZyoIYjFJqAKGkAceQbhLFi6MupBTARX3Ui2fbTRBYGEL4W2YRSGSXU4czT
DpWG7zHrbQ/PsGiDCkID8UV/x9u+xj9XrsVdvi5oz8D8LVQrxS55xDeQcjA47m7A9kfJdE8AYzm6
s5R7rtkni4xbXQG6gAKxSAECJW+kjgKM5DgMwc0Xq0dW3FXSd9ux0cV0W24qVAEW3+eT5NMAJDpi
Povm87LGHU3vxQrR96NCMw1UYZVjnryh3mJ9eYtc8QQ48bd7oBJa8nGP8XJDqVqwyBsWkHfDIt+S
HBq54J3YNmkvSQLnBd2TcNCT99fCAm7pDida1MaFboF/e2XWBql6BiK5iOmbX4+8rksau6ixD0uK
3mb8mc9sHsNXTTNAEwclzNzlpReuWjyvxIRkKAxOB4thPwgG9JRpGucmMFjlHc/DcsYfeulcpAuY
KVt93cnnuxwlB0BcxnHkttv6KDdtO2/1L3f1Vk3Q/W+bl+lu+43+A72HiHn7szjwPfyGq932izQC
OtHtMLlv3AZrqcRWrtEt0ss6uUDuODbqtivzbvubryWLnhKVCA6d7a8+IfitnHp1qaxTUVoEofKz
O9OkNQRAC9TceNFupXl4WsZ+2+W1t25woAZPhB8Ebdl0Glcf65v44B8uwC23KxcMTOPb1xfFKseR
NmKpeI+fE1vP+JqKzV5jyL34LFjiE2gcs2ADo7123EBIDcUNIRWECpCmF82YGO/RsFjinqcFLN58
ZmG9tXENsfiOdG63yzIfG84bBM6RgsZm2+Qy3GjGql/stiZTuoaCQSqu+67bNbzFboTaeeMkgANv
RU9AyI3PJTrw+FUTRm2a/Qvw9dtADywH9QEr+MPhFfwXrAw5J5pTIcPHBgIqXHVa1xa7YRlQZkeP
bDuonQG8NNBWjdu1/8t09+tst309TGeQrOabvwsb99fBVhk7eItOAVV9lkYODBhXgTkAO+mfv+o3
AB27yU8/nG6ArPCNyTbW/428XDIxZhSt5H/WiC/sMJSjpITcQm28re48abaXahjHGx6IInhlX8Xx
n6/lVwgh9n2sHzh0cPOgw7HOw1+vhc5RCPiW1485WLXkjcHAgBINKWAKTeKA1vnfnvN/f2GY5wAO
kiyHNDjOf8MVRaP8AP4c+jDC+Za81QIn/il1Akvta2f/8w0GG2z3/+id7Q6B3X66l6DFJr8Dmbbl
pO6nNnn4qhgL/HRYRC6JXBzvLdHZvOeSrureLJHjVWf6rZ5HCqXB0yvBefQvV/TrSscVYZTK4ImC
azGG1+p3WszlvrekLhof2s9NtaCvwx63RlDUdZbNDK+gIfCthFUe4XBAa+E124VwGY1mLecRk/0+
7qIh9guL0uJKlPoRv479QYMLcxHmyXL55LPkZ5n955v4/TXixRE/gmMsBiQbZL+zrDh3xymE3vjS
aLFVpvWjEZI67s298zJDrv/33xf7eJHbf0mS/AbOphbdSJj55vJ17Nl6M1/4AyrrUCjN6v8VtBb7
gPwD+NewMSJs1f8qB9FCgUTPjF8+jyU0ydvbSEWLfdHrcTsw/vkGt/ryt2WKBQH6iWAHQo8CT93v
eObiVssULJjHtPeUiMu069LoLVHYMP+2Bf/7q/DqMjB4GcGkn/5e6joads7USX38bEXmGOgI1hG0
v/jxz3f1JcX4240BK8RX5RDIfBDz2e90oe+Dl0lZow9qDf1G78LYbmoE45PQDH9pKLlhxRl0DWw1
Lzq6Ylospriegu4KpzWMFXU5CAnk5zokwB78u47COjMcHXqDeLhQy0RgXUlDUE6vehw7jEGKh6SH
YLs1aziV/uAnuqsyFQNqu45sMETJXf7J54kEw0h0C69RMNobUTczFMBochIWABPhkGocMWikrKta
j0u8iq8GJYXUHmtAfLYV6NAzHBbJRxn7HDXE4qN0L00XonRjNNzagGUOPTS0Q5hhTuhDg19Ai5WY
9BLpdmvmvM/eRoIcxW73ZRasrBB66oK16LXKe1YlMm25Kf4DeYw4Npviq5H56KDArC14vuuYbYd4
Os5AljBbiCTcyWzAV3YCU8V89sFWsLpsbacxTwHPb3n7FKHtzaNL4qacQGua+N4GBuhZAWd1n3NY
vjgdjVUjTAfYFQhMCpah4M2UDbT0zFAvfleMEdRD4V0+5hJ+vXpMIBj9Frt8Xodv4Bs2Rgs9IMwj
l2HSIBG+MQm0ua4gQoKcYN+oMQh42QVoOv9yGD11do4Tu4RvQWzdlF0Am1F53+c5F+GO99qD3U+i
cNiphG0cXPquHxzebbXYcFWu8D0gE3OJ1gymktLBbLBci1xPeoVSki8M03SeKfCirPH1gfjttLwn
fidcU1GChrsvurTv1EsP5MUzRfZJuX3VohF8eJ1cZx3qNt/3TZvAZ/3VZwH43vpE18OP2nxNoe1H
N9inrcDIpnIoYiBvVn7SBahk9ZDiMkIBF8EivDn/hiI+ZI+yz71237G4joumrpfH2LGYV44t9MDI
HB2ZH62nTtn5CCRjeEhVEpY2j5tLyiZoEkcyq28Ui/pI6njQBXZf8w4jbPtS+5vANg8oZtE2mg4Y
dgEphX18lUn/bRDYjv0ik+tkYZv9smnwdn1vc1VYsuMDM7crbyd/h6582mXOj6C21kn3A762R5jy
5ZUiXn3VzXraxRoQNLQv9RFm9bxq4Ke5T2UzgteX7CfTI63aRtaFI31fxTQfz9kadntHe7DAUHsT
fHTm+pLwPt0v+MhThnnsXdnBHKB7oD9HCLgPwgbtWricx/uG+8OjJMDmIfj2R5heoqF+WuyafW+9
PsYob7pvSxaynQ8/55n4ecOKwfOiawKYbq8m3f+peUrvAR4y6JWmKP8ZgOrBPBPI4GEOecP20vXe
LtDd9KBnAsABpaDSzppzpJUTUNYuGawXOW2yFzaHuTtBgWB+6JDACj8YOWHMYRBaw64aZ39mUwx/
pkc9de5yyBEqEkz83s6RwJzUDVexnoKxpFkzfPe5ltc2Jf6VToJthdJ441DreTlbtLM3firmE9Bv
78xE1ITQfrP2Z7AsUPuuaxY0GJul97rIcfkTHmBbhixYv2vNBwjK4Qc65+uqsXKbFlJbKKaUqeS6
CHtOTD3WhR9IdnFBikKMkaqcl6iNzvDjtfKs7Kj2oTThVbzZL4H0PseL++EbSi8kwPaZ4ViqAC36
rKgtjLcQPA/RDlEK/UU2RL06adGT+aC3a10YAQ2EKFNWQ0PsmYh8BzM9FBECBQ4DgIIi9Lvp3kJy
fa8bmARKMU3109i48UVZ2YXFaI0taQA/VsFxfWBcM2Bu2Hi2gT3FZstdHmq4Fvp15t95J9cCJE8H
qTiDJ0XOwX0OEuEkQ5WVRvn0DHsE+a6zxF5z4P0zaAdi8KV0KqjxRkykpr5OMm9gRRuI/Lvy0NRU
GfozXsRcj3fJkog9Cn2SlDlb0+MUDM0ddDrQdiyNegqHHh5VY4MDl3PyXUX0acGc/LSO3ZodRklc
wceu/tPhgRyaKTVmhzbQPU4qj2mhyAjGVtRT4TdwpyQ5vCbwAcZBUac6f8r7KX+PrIy+cUWH93md
1z8NFng1w0RyQyAsOPg4KarRjtMj+kuviJd+vvaUFm8rDA6HqA0olFmAky+N8wnOMouK5HPkSeDU
FskxBTFTSt3zg4iNeoK2K8L1z+E58HtYKpJIvwKXG+/yvlHHwLX5Y9ep9arWHA4uGEu2Mbhjl574
01kZstz1mqpvKsvIj0jMKA7h6OYLgdlkB+3kchtEk7myKl1ObLHRANwm6w806UiF8RgKS8Ae+Wn1
FL2GRU7dr/DdPGWATl7HNZu+4cCvj9hs6c0aeBM0TAnbtzmNr8FwB1E5dXlbZavrI6x31e/X2hvu
BCD4uxrOlrGEMsTfK1j/XuVkSI3hel2vVU7MFYRKiNTwuuFbHa15h5rd2V2UiuwYgPMrYVskt9lc
R0DmlffToyE0aNcO7jmWl66z6HWr1ADSzq5FHM3ptPMHJdoJvj5JrxdP1ndAWdqLR1z/3E7qO/5N
DaCXBc+6QwfDTcovNueQX8YyYGf4FcM341GzlG2z+DeQ+pgnFs7zeGjCFmaDvAnSK0IHle3hXoEB
smsyWYHHJfC4gO+usnzt0oKvUz4XXUT7y+CB779y3pjiWSf+MqnrMZ9B9AQwhy2nnsANEVniwauV
M1kmFk72XZNL9cBrNnc7UL4OrhcmBlZ5qo8hQqQ08A7prPX64LJemeawtR5+lY92aAeBpzYstTgL
zOSqLYMUnUsZd4bON0BLuC4jE9TfFgSXuHLw2+Qacj0aVEuAFvFqwiA+PccM059CHVFyihM0TnUP
WdFxnpL0HIfW7/m3NYITcS6cHf3cnEMUO/+UETACh7F1vaqaWcfmMfdqAf9WWLe5KhTM260oYa20
jyyCaqYIG9LeDy7w1sOCQRM5KukY+tdLzm1fhgo4/k3aopxWEMit1QBk68zDiZVJkIrz5Dmr+W3r
vCRfIzz+3rddBZymE5tKS4ZxdztNhGdT5RKetCEAdj1gP2SgN0sTuLBDeIKBGU80YGeLrgfMC7Of
Hfsi6hyIn9RwcewZiYddDaLwRjDApBW3zB6jmgRZlWR+A9sIrILBSdRKgo40cergVQT7nUzhdPHi
3KbwHVKii5SICFAcMLvnQHrq54xkiypCDE14GAaKUJp6bkIDX2FiG28owc1DirYUMFY+OI8MKRoz
kznWlqikE35h8D2GMCEUoTFLdo1skWJQj4HNd6JLg7TZyRA+lvgm8ObEPIHM7eiRjxn5Xs/z27o2
9VPdyLcaBkVeYEzoHhdoO3Y0o+rg4/DwUSQSBforXa/gSmwvKmJmPzcqL+UoV1mkkGnKouvi7lH1
bVIplbjCwNWP+or0gB9TTdd9OsDCO9aW3oBhzPwysHoZqxWHDbnL4R96TCEgUhWbgfVgPWDBFNDD
LT+DQYp7OcKftNNpWsMK1Q+PZtRTvTPImqAnoMZ1WnhwQp+6gY9V2I/tHu6X+LEXfrDLYUO6EjT2
bkJhyVUoQVoOtQZ5nWMsqsKQzt97k5oDXF0hooJSHMKVn8+j3skgGS7QDy7TSaqFFrlefFuOArYc
kuhZFnnQUWhIIYg0J53g5nYOIPfjShX7ScF7jwcOfq1S2JRLsTqhLjjlcfizRLQV4+gvcAn0AacO
25s0T0rTy+aZszp4A/Jm9xDt5IfBz7t9KlN+53FflXOXNC8w9D21HEqwGoPbPg0pfx2WcBrgCxuG
18in6mzCiFrkhVielTAYkTOVsKmJ2gfCzexcYtiNbjnGkvO8BOyHaKL0TdA6eBEw+1zPYG6rWI7D
KQJk/AzwPRRbTbOyiLg/3iSURuhbURy3RUh+ELENw67vtlPbhvp9mDOP7dqEgQgFmAzjaR/3bCi1
YnYC17QOAAtTxBuVUYs6UiTwXMc3rdThewOvuigQpBH0BW/TJisFPrcE/IU10TgZn7rEhGk1NRBy
KvRaoj53cpj+kJjamlLIKPLfcPAuqsi9bJmP3iSSapLcO7IxDp823cA+WGdhCuY8eRvHlr+bOZM4
HjB57gdDoYYaaBxdg7pTV9JBVLJll4Tq2moj30U4WVZqwIxzwebW/pgmh72CTYk5zUigmD9nsFZw
4/J53vV8js4AqWtIpphd0cxDNvongYSU7ru0ma6Iw/xWeGhHpqqloxfvvLGD5tdf5/h50m37msrZ
lkJHump9b/QvZkmDR7BrWQ5VEHq4IpmWpj0saKrOqH79srNjA7/saHO0nlBxwNQbNUsAax/dlHjw
3cdyp+QMhwEUKVhESAnoGk7EvK/nBFRKJ0ou0KSp3TbGziV1IwvRU0c9XV96bXpxGw7BoitMFVSg
pOXJsMpSBbC9u4MH42pPbhMT0awQwcii7y1ko15fzl5m4VgGYSasfyOaIRnyEtO2JXLzgnbawAK4
+LGrGvBXGQyiUHMTV/Wzo524gk0zjPxSGwxg8q6dgQ5FhYXMOzd7ZeTIXupakKGuFmwV0Chw4yDZ
q5jtOCTTvkav1p9MY7zuLz1qO8e7Bvqnrt/FI7i2R+qH4F4OEkKpqa+UI57P77iRiA56Jh7kUgbp
JgYcwAyZO27/z87LUx/PUfPeVXD02/glBsvUPH6CtZ7cCIepzTdoNAyolVc5YtPAC0AvsPEg2Icr
HPOI87HJAbrqFfttDHTOXo1cGtgl+wxAl4fJlvIlwRGBcjw9mwaAQnY9oaG0F5/nviOlqbUZxWEF
u4W3hSOPD/w9ykw/d1XcTsb1V5HB7a0F3GNhqEuIXqKOPkZTLFmySyBUZdHZN2aEY7OK2IQeB7ND
Pe4/Ml1CyPSGSkCFdANztEPrLnNUTJczNFEZObAp7ZyTQGFnIKkMUVBIflrIru4tYe1OLlDc5MAO
+iG7XtH6ZTvqtQkFCzbTXJoiIGNOdqlbI3IA79c9y8y0Tx7UNVMRDjCfFcRg7+ygNul++r1AlwX1
e6PEbkh03lSzgk7FFms4gnxcE+M+VPZnZNrMdzHUsUfgwOx68GlUijAxNzxwrtvJqINYa85BBEuv
feTwGqenES0cHKS9dKSw/SL6g5p8qBhtJpce5pxZ/JSrjxgpqkhHiwTnqKmmaHUPmiE5BA2C1+7Q
gWJCpFzGsFwnZOoq2mX23VupdbII6mUMHjKYKOMKqYX9D4VgMFVoPmM06FdvxjSieNDs0E4ofTRN
LOaftWc3xAUdNbzSq2jqPXxaM/X2nQkyiHPCMe9L6pNhQDaEr4+BHtLXdm5JoMuUhvVQAlBkm8M7
dfrSZYlvqtCPzfQC6QNkE4WSUNmV0HSMSDkyQQhdEcCtS43JG+7xEX34jQXhZoslEukuFUl79mo9
QMpuYpgroK2THaQboTO6ynpkIhSpNzUH+BbwYlJbI3YC2rrjKNuRlwaA2fsKwQLWBs3vjecPuM9V
7pNA2jvEZtiK5Aht2HFoK/70IF4CeMhlfe2hDOs3DJdLc5/yTm1dVxSyIzqY5KxIGrN3lMjIHaKZ
8AfkNtAbyCTrnzX8/RI5aKuFXI0aICPryiy8t/7ylNnY3C0Kbt6LhI0N7HDaDaimaQezgojzhwDw
YVrlfFhOAUALVi3QxvyxRAQ+wlhockTQF4c8UcWPI62H/RT2/kuCnIIiT6FDbFS7QqGvV1fAcuQu
8FSGrAqNnmHqapGnVuRszudTnSio03S/Qg5a0wXO7AUWY0gjMA2Xsocrfg+GCDyrH8FYWNVzhKgL
dD4UKMwkU8gLo1qPaAp6p28iI811HQZzVvlxLdM9hBDy22LTCarjqcddQg2QvhHVZHXRoQG/Hb2t
49UZyfoCPbVjRSJoDjmKGFlT4UDnUF4BLrlbOyAAxZpImezEDIFdFfkd262jxb+pY8jpIBvpZDVH
8q9FN/0upNqWyxS71xTVYr6yU69k1Y5z9qBjNRl8XRyPGAgYUKAuHG6iloZXiEYQKWRCFLlZKqD5
lec14btrmUByi9R30OrxEhqw8DtcMaYHz5DmrmSx5qpMYdN2lVkckltaBc/4zjQsa1F/VdRe8SB0
8X5KlvjZo420FyBXIgIYMHSuaJH68MpyKB4K2JfVZYDCxN+lC1IfyzUP4WoYqR93uy7gzTdE1ail
xLmJrg79edVEasy255bcLtECGDoKB3rJ2i56GaGy2HIp29dId8OLmhAj17Ae2CMUlRBK1TOWfKte
a2/xa/RW1ivh0Q9ulIG9RwN3eetr450Ux6auFBPp7WSm4TzBRl9iIhfXwAXSo0f97BmIMfID6r5O
3mWILDBLfP0wI5fgJPQwhSWfs2Xr1vwO0pkeEE+qdXbUUdMnFfJh0Dh1LLcHhPjN7QPcsqxSALcq
haVOyjGKzQ7tS3DVu6GBNnAJXhrq7EtOp6CQ2viwTsZi12Ut/QuyYr8iMZmeMrT7h4DQ4H2AAv0F
8XsuLjyLBwfJ/ws8N9mNBcl/kEgMKWxmvkOgPN1J4ztaZNPgB9gH611ee4j4UwHpDjgPVI8xQ0cV
wj2vgKJ518sYqj84wA5EumBQGRFeuha2CYZnL2vJI29gni8JUP2TlH0AKgxKS6RR/HAG6L/aCQk8
SL3jgBLdXIEDh4vpBRPt0MkHRTQiTG8njlAlu9MZ3P6wrI7wP0MkYB3vRnANIByHW+IgpXGILIFX
I6yiwbdTc/JN03GY/xEXMD1RZpf4R9yTQRyRMdVNpKRE+RMCJ+aYLArFS0DNAk4L+gieBwzWeAjv
ghVtY+Y7ViqRKN+eDFI/IMBLQhvvCemX7C3p+wlFZZSitUhcSuPGjyv0edApVJ5L6hqCFgKNFeTI
aOOhqnLwQmPTQMaOFD83N3L40x89l+oKhCaEejstFycaMJasFlALyZpuInKsQeT+HGper/54P0fZ
hBGGRTZR6nnIFjrzCkRshrkPliFm+YXzQZuhQgxShjRUX0ZGj+9GrHPgCnyKZK5cBoKWrFgR3jfO
RwqbJM9LINbbnZCk9vP20NR2Tsc/jFevYVwwmgn8HbTwaWKvvEljYL7iTtM2Ka2P/Jl5/y/03K8G
EZB/MFDn8MqC5IRMD8KHX+n/3sfMwa3Mf/gcLpIv1jtMRAz6SUWIOjzOSzYjiM/viArTIlUtjEhF
Cx5Fl1PU2/SJfxBd/3xdv7LLuKwUPD3sqjn4V6jANw/+3xUSLHawJtUs/SkGuXmbuk/hRyeQFIRu
fABd9i9E5a+c/PaNsHHjaWzeYVC+W8TA378RoGE2+fBL/Nl9fuP8qaqJ4l6BmtdpQwxEcLNvPVg+
GAdZ+fkq/n+aw79kR8O5s9mS/sf2ssXo/pIdfWpbHBpM/z3K4esf/SekL0Wq3rZMtqRZDGbbcvmK
6cuD/4N2OIG4B7F7ELFm2ABfaQ4EOQ8QL/oZ2H28dWgL/ifQIUI6BMRNGUx4yVfm7f8ipg915Hdu
H7kQyPzDFkO/BtXHtvj+JvhhCYOlI9DN2Y5ByhCEMsSgAhBWIj9yS5xFhMnWmz5KMY5tMYHIoaU/
Z8h8qzVMTEcFXIaW2RaJsn6ko7QfSSnTFpqCqQb5KQHfslTEFqsyfiSszB9pKw6lA+RiqOfrduky
yAXBSyLS5yOnhQIGg8p3S2/ROItOa7BluvRbvMsKnYPazVAMIvVlGehZa4osGJJ54zvSVtMf2RYV
M+GQ36FgglECSDfB6gXSN64wDpDwOg+RuqfzLrlZoIcqutk86C2UJtVbPo37yKqBuIQ9yi3Axm5R
NlC4dw8d92y/QxAFUnd5trELfezX6EG4fGhjOR+2aWMXAOQ91kuSn0Op2FXQZAfLQuUVzcCGfdzH
CeTkDZKfpiUUQWVjOu6RGhT+0eZgVhm0/Y9BaJNd3pC3enYATQYH58waRXcm5Oo0D0jWaILwrknQ
KMQI6YYfgSWFxWB1F6UetJv98gDhLxDotoWOF56o5kdCQ3kg6RCVKu3FVdB1gMUSO6JXQU4CvLms
vtEgQC9L04Mnncxqrv1lN4YDhAxSdX9xiKj3syBur2OWlbVK9UOY5D9iSocqQCRpmXgNhAYa/2vi
9Y+ceCCN064vZRsD+ILbO0Wr98iVjh4im9urCAT8HdM41KQA4xtGzfd4SJZqre1Vu+ESYGk4TlyK
NJ9EeogRt91jqwTij0WrL2EkmnLCEylpLu7BlQP5tcKUDDv2SdiVFkSH9uIg0aykjREVHuNKPXh0
K3+m9bcVEeMdQo5GUOK8H3J8LOcIxpUyuIqa0T873/xs8fvI0gFkjlDmtqmQc5Q/pKjA91kI1AlS
Wk4LWa/rhXjRBGf87B0E5OCH1TP9A3jCEJCtma5DQciVAx4uVUT2AZb9zWCj9XVWGKN23jQ1Z8Kb
oJJEtGMRYaKqRiGWg+G03ntI5EogAof9NLmZZ2h8MBEg0Qtqal5m3HpHxBYCf9dYg5VFR4qENrj7
knV69kDNNyAtMub8PQWPMue20GP/4hbD79BC33pT+xw4BftTSx6C0W93fSZ/aJmmJ8QpPUNw2xct
5sAOB+xesHByZcfAn8J/WPbbm3I/wVMgZQURYAXCsP4gBgmNs8vpUS6zd7Nkeb6jRtYVrLSvKIb6
NpSd3SN/fShbUccnBxzgmSRb6jtHM9RR5YMND7GtvHNKm7hATMrrnFLknKWdOiA6IzxxfYapH6lO
6GDHCZx6D2KOaobuBXGdgAuqznLIWhbJ9gJKEMwNXCNLM2rvZRbXpxlC0gLZ8tEJkkB731kkcvWT
CCsppTqswiY3RM1nSG2XE9ApKsDV6OV+IcCEAucdPXiNLwsJmi3zHsakxX/suUfavBoDFfI7qDii
DsHQ8aVD3tgwwnyYJGv+jUeAbkiIFLsmY/QOrid2C23rd/ixyAnjxYjmL/ieyDkGp4829U0r3LLf
NbKCIiK8qtu+2/ugWSrp14izQ7jMrgURfudQdovGot61g4JmM+3d22oAGs0U9Xk2WIPMWfeWO8sw
hDJ/fESY4GPvJ3ALg6a4HZDOmBdz3hp5VyNi+BQBF9MHCZcnosBihOMhnG44AaGjSDCEbLEaoPx4
mHj6l4RRrqxDJIkuTdYitziDF6rwkikrJCgDiG8I68AglDBqQyAEFMwDKNys+yycoKFoRost3ks4
d81zA1d/QI5u7j/w1cbgbPHGH8Lj8Ok1CL+D66JZwuRWKEiGEBtrs6MwGV+vLVHJvcWB/Rgpii0i
Fiy9k5rm+EXDdXJu1s7pYlqj+H3C6mdlAFtKUwYeTZEuB/HSw9h6EEjQwFfnIfSz8+iA+Uw570HE
jtMJ8Gx9C0tE+4hgC0ADkGGmh0ZQLNx8XZpXmRG9mwHhHAPkcCGkCOErRZcp4BW1mwicaApR1sgH
S5NiXQyi9mSG/RHNM9BTu3r3EqX9LyBuYDDgL/6/7J3JctxImoRfZV4AbdiXK4BcmUySSYoUdYFR
oogdCGwBBJ5+vmTVTK1TbX2fS1t3VUu5AYGI390/n29H9MZ7hftNjz1XLeDwAAumYeGQCghtyHMv
TNm6t67X81eeyWkTzvV0O1hrfZfgVf+ANTMxEqkS60LOWL5oZbWea907eIZb/axry313iG3mYZ4x
tGPMJ6tNGtj5weHUAiyPs7DP8T1WHOtrnBd8i2FRZP7zJJVzqtyhekcnKZJjPTHnBNSezw9JZ7vP
PEeCDcpeup2UMpFtPE8kkVGSOTkgSiw/yjwPbBajNHkOykbeLzguuCpVpt3nhTuI0LTq/rVQSXm2
KpFylieS60VmUK+HgOnruz125YUp4WMF4RwKxNokh9Io0SLLjJsViaK7WzurS6JhHoj3m0Oe1BsF
z+JWoKS84vqYf+JV6b75ti23jVYglmppkAbh0int2BuFvG8c1psQrwwANl2B+O4blAVL8xkUekr0
e4/QwLcgXRqMW2syHYQxWnNc5EWnGEfVxUuHMmeHfmuNl8K+jsK0xerO7iiqA/dcXuwmUxcK1xeM
Vt55gA7f669JMCb2pslxX8ek74Czw2W9ML3Vd4zbPDwOU4Pi4NvFjuW58EkcyDqyStM7qXnsjgaO
dU7Ith4ryYSwIqgRXjXdiLGmvel05j8umu7GyZrADo1BPBjTMMaD4wSnSpNgGb2kHePFK8Rh8GyO
/jQa9K9l/0mlT6fBiKBotF9L6DjNZrQDhR0FkMDPK+DvNtFnEVum+91Os+CLlzX1GyJgu7Wy6zSF
JT6pOf2WrRbNQcmKiG1OP+SwLm6D1fa+Saev9iITKo3M1AFCqyxlffdmyPQjgu0zIiMzOL+2Fjvs
eknRSWsSqCDnMTBonLAxFFamGPkmncStlhlvzPtMZnoOuiuw3AcnGBnfFvAyXqeVDeQm1eeJa0kf
cM8B730POrNDk63d9MrcK5KveTA2XxRB8mFrNdlyMw0TbNqCGVm89uja2GHLQ5GW9/o65V+7xjun
SsZtVssIaW4zg2iOGnyLD/YYoCh5uAlT8os5tQfCvHMr9oY+5vZd57KxCJ1e2t8DbwU/ZbcifQbU
j7yNsGdroaFZhoqMIdd3QZWm52E0181srsnBZFa1wxI+xquwKlC9+nQytGzjTn39MytMzoik+Lyf
bpHDNpZDk13zxf2XFN7+d9duk61sdbK9/JrrEDGcmW4zcykPKdusAeCMg+yc92kBXLW0i3eBbNuE
/fU/hJZVLC3WfNsmXfZSJUv1lKMY7ODgQngxkunUCwwfXOCuf1P2hHRSnT1iPaeY6GoNWlzfTXs/
D5inNmZafsXib/RhlsyAOLPcYaIohOluumRdb0rNEMfZtY0Tn7DCeJvnP5I1HzEgjuO+Fh2yWgCg
uauIfZvl+iLUMk+RYRr9W2p13j2inPbTILv5CyXp/0/J/+aUbFnGPze8PP1c3v5wRP71T/x6RA4s
DrsQtALjerD1GH797xHZ0N1/oSjAcuIxc61Y4fT8PwUvV1w9tDAPdBioB/N6cMVwfS1XMp1/+RZ5
HbIsOpSzgLam/+CIbEAF++MZ2SD3Y3PW9q60eIZzn0D5352RmRVqsmtbnWQVI0+p2QghlfrxOfbE
m9VtMg2M8lK35cWb/dthEPKrK4vuUbSEqfR+OE4KQ0+HqeP2cyCqSO4lwK2L7J50ofY2eVdKKX0x
3d72QWGHjmOmw33jEXd7sO28NEG/N+ThOAf3vnkObAxvX/A8mKikWrm2FjTZUYhbX/S6h6NHor0s
YRngCLG5d8sCDviawvoOxQz44QvIitFZQnzDlXHMgsXFimjy1Nl4mW4P26yyTXEc7TTnwFKQ69av
Hnylgk3OYNU4eq0yn22FAFKGa2u0BDPtZPF3ULmUc5hyTH8JEdbcK54SpWmTDPEOSYzZrdO+FU0C
f88tUi9ezWEZumuPiC7dyB88QtBMmguB36CyB+yyLdIE7uEhmtwgu0kKrASIGx6ESamDbyUHVCg/
ZpHe12krXhcAnBzp4B9QjrP4m1n3nVfFnDf0rTTb50P+mFYYH8JlKghfN+2+MOdnnMLWrhhnVigA
X3uQ99ka4mPMXrD6zOlGyfzg+cstYaebbJ6mlyHlVDtVV1lkydKwkQGDjNT9MS7JTOZ0fiU7OESo
hHCmLASa8nmRIw+ywCiOuAW/gxXtN1ZSTo/0Z/EAW7V6N/GVahaoCMcT846pnsfuuNkRX7jINX/G
SvXRVvl4sw4tCIAyPa9Zh8lpGl/bejiCp232JZSz2MstmMR4SwclmOIIwDfENu8x+bVhaZbPAgNT
jLGvxbAkf7p5497W7prcz0HrhgNDxDCYJrAyVhITQi53trQNuPryziTvS94eESHFkB3ZLM4ndjT9
rc8cY+ORnyPDDDeiWVYnZGoMw/1KtMgnU+5qiVbIZmvB/qvURnSOdkmvqm9TpD8TK2nvHG18dMac
A0mtqp0u6vyKssv3Tem6ZM10N7RaxeS3cabtSBPagXUh2/a9GWxJutuRk2nBTrrzz9Ypa6ggSOgJ
a0dYpqAGIpIY31vLbiPpNDUtNQhLWAmHuKWMJhwajrQOKPDQ0dkAGxqnSN9cngynIRlblc9alRzW
tZnDehBgAEftxVGJDuppKY5Z55A5FXb+Qcyz/zatXlQYY1iUVDqEg+xI4RKWQjDCAnPjuiN3/ITG
GFv2qn0A6ce+KaGuOmHr+Xoa94Vc2Q7WHOnNUp8uypCz91jZpbh3dbNu0MPIAQvfdCHR50j7XuIN
kYHF8Alj+xiNurGmNA215rGZ0p7mG2vk1biwyjVM5vHHVMGd1BMp7wFDGZGUXBZpICsj9JdFvePh
1fVN6tnqOI15s6e5SM3BbuTSAuMKQQNPFu8WStowjx/QhWZUSPIOW3eZpuwDCZANJVJqt4ZQdcR8
piJkeB0YFkiT0xtHPnaq+g37zhpEiC+irNPMnY6xOOzKmbBdgTmDlOVbQaICs12qbfCYIraKFV+3
6KwNjMhqh8GHfh1//cp4Mnj2cmTFqtDeuKVeTHwZVP+ULZ0II37Fzj5j1y5jqNPFTaNhFht8rG+m
yJ9r9L1rvZST35q9kkZYT6sVg1Mz7rs6+dLhwwKXQ2XKSdhVezSCcYtkLU9UWIkLqpz2WNqD92bW
Th6nZdBFiLUMrKY04zYm3WFukraBrVkpHROXajd4hpCSEY3O1YDjlL+n2baarnb99a4tYYw91Ku0
tknnLBiTqmznVfK+yux8k6thPxt6ZgKmAAra+asfqsRtHggGvjZT6+zB5gU/enN4IPyQzdRbWVgx
/PGri14W5rqubUxLHuwKC2U5GRbYNEOMH0lrE5XQRu1GTU629eVkxA3R4I1oF2qXUj8FBGOwHvjq
nBMPvVs1Xd6qnO1coyaaAZsFnjbOfDRZc+IsYKa7LMC5QIbHj4Lietw3+p3S0p41eLzl8EbXnqU4
H5mAOHSISoexRA9zUfSvXPzLRLAiLP0Wv4mN5ZrPFuy7ZdnBXOE0z+Quao1FZ6oW1D8UyZmNfh28
TYamxWIou7ioW/hHlDIOT0FeBLHllyoGCR/Ew9gdAg3mfa+Jj6XzvqDctps1mKetPog8mlWwIozb
eIGbJdtOU70ctbJ7l+V6W43JBG4MX+U6c3ziSNXcQYPWT/AZ2k2jq2I756N+WB3H3WuOBz9GMORB
DcwjP2XYq/l85qksqhCvLOtd52IHpYGlYa+LNWr8ZsICuAFrnISGYraXWFQ/CFUYJ66BYTfkdhbN
ZfkxuVWwXcT6LUV35MATsJYVykluk9ZITIrDWPqxW35HT58jwkL9fVKaSZRJY2BeRaA0q0Caunr6
2hrOhwi6n/aYV9vKYcMgF/ulxtsc1eXQPVc+f9Xa2zRTTMv4geMdNXsoSjRmUlXeMGf3BKCLh8Bs
xUH3zfUEX4KvwSu/TXWiM2Tl7mKVki++anlgjNZjTqVdRD0Yc5vFZ1138+q72aCS16ZqD5NdQ7CR
HiZ+wNDboVjrE5S1eQNbxY6kpb4PKNlIBq4XzgHvYcZSttGDzn8edHO9L62BGVGzEmIJM2/CzjyX
grcvx7J45bYvx1uo0P5T5zn8WYtgQs8Qxq2WOdKqIH2YGCXcc9ooXr3CfXRcF8NllZ6vkIK9Nfmp
Ra1WITbOkPBFZ3lmf6HdgKGlQ6kGya+NvSYkm8D0YWeY5KwIuuFxyF0JjCltTWYtS+PEit85NIXR
3klEjb2+Lt7eWxz/21wOnEj15QeR3/EO6UIrNlQRyH0hRuvOqV2JtIBJm5VVjJJEvIoCUwbX3Dxh
YaHXlw7V8jLjSNJxD0qNLYZJs5hjD9XH0Fs+JquhSPlNSX20eJN6d8es2+GWadwR8sAQrDS1mTzm
VWo9IhNjEBz1E2Os4uuAXPW9SbtjNWc0FxVtlkZdar0zBML86+bmDyMttDpamb/S0JFP9DrNLV7L
vMyKCZFDLT/0yq+YzEzDIy6o7oA927uVmVbtgsa9Z6B9k9Bd4sVEMNtljz+94HJ2pfeepF4dZebg
3QWjk784HE5vDdgCMfCiauPkgM4EOBycGhj+Ny09RheG7H2O7VsfzktJriLUE4QtbxRTypHdxyQm
l0HdNX5e7SDZQHzz5nFreIa5Ies+7Mbe1XYFhS81EZUqf2E1K194xE1fq3nRH8tiTPZ64eUH3ZnZ
8Sade+waqRVgQ/FokuCeq+fUzAt1A4qK0dma9cdAM7khMp1iE2oIUIeYXlBmuBhlSLGjiF2ZwmXS
h/5hXJfxRfdXIGKM0Pf+0AY3dCmMd0xU+i/wvPuS+6+l1ZCIZlzWDpWD7K7W56Af8WVzfBjmp9Rg
hSWZxTgeo4mwmCZUQslNXnA/3EACAKfgo8F9ATK8ul/TUsvXWPoLT1Yy0gE3Yr+MoerdJd3Ype2e
IX9ljOFnV2OzMj1Wa6OMGMuRdls1S/6a1E6z7elTAgKxLtWBGZUeF36BPmbbpeaHQz3XDCyX5IFa
12a/1CyvDAMe55q98dB00/embhBoMq/YuuOa3mBhdNnMS3rzxlrWT0Y2Z6Gle+Zu9uvyhMuBskEE
gLhNuyqiia+irKMXznY2mvmhsjG5x87KtKmQebmRhTGd6madQhvHLAO8Jb03BbaTC+U5fXtHbHuh
eAI7FY2MEbFyk81CLbJAUT40MeCk4pbtZn5tvC29brYf21/bcCfV+h7mwSLI6iCcP7tzK+IlkTuQ
o6sgrPexNWSso4tfLWydXGs/Zq7zcu0RmmKqe4W3B1QvjO8oyEmsa4g+p5zuTiQKIN3FxvTTOSa6
KUUEv3Jm9SF5eZKjJvbTEBgXIlGcBYxO261ER2I5MsHEIicOjKiLeBqt/CQKJyeJPHkfdd/aP34x
dvZ5Pxa7pRZPQwkK7tUwyIvVdsDomfsx9Id1dWjt8P2frS/SvTvVbMGNkR6ZDmz284rBYkOZ0Wpv
IBSV28Ec1jedjfXNjHUc1ag6tx5Dy5a/9vhpGBUiF1+zxaYgBC7RcWViHFGBKmInMyzcmpCiN3AX
RpBK+Ed1uJ47sIBG1PdFe7bJ7cQW7/HLwC5yMy5LEFGWVGxSnnVszju1Wcx+3EyVd9BEwwSOg/tl
TPNg2xPofXPsxd7XJRmbpGRlqlpoiF7eZrs8tUgOtI5/snKmfhjCshnCmCZ3lWmTFMoCjLD93bVb
J/x0qArTVPvOqDq2UkTqYJf7S2gE9rzhusHHGyzOplMl5xsuSqBERZ5tZiyf1JjwGIe4VH4b2NOH
LUPivZYnFvQZniTN7DY+UVfkak3XFGFSy9pCtaTLMvC0u0/nK6LMflrK6haps4mctLEoMLr6YFGB
sp/YBCE4JnDzAE+hWrQa9+7Awj9R+aYqooRrXxFwKkfJQ2dWD9moB2e5UFlDyay7L5lAbsyKtINO
Bdsx14173wc2RRvLAhZdpG+D1xTwha5OeGF0/rnUOphgtV5ujAoVB3qd9ZrihQitGWILUmFWv+Ig
fO1ImIWZ9He2A9clpBj3HZl0YOynrwdS1xXf30SJGcLXhBkYbUuVaICFlzLKXqs3zJjZFT9PYKVZ
vgqfQ0Tqx2rt3pui+vrp563MSW8309iUbbhY1oakkAmEKEiORT44b9j8EmCouhuxZzb0SGsWCpp6
1N8pZf5+at2i4WoZvJ2hl2gNvZ2fmLGW98wfiElixwWGJYUumbqy3y50SRjxOv5Z/EEcAuwRm3WW
6z4lcvNzbjiiFWMh9xT8ghzSOvOB6TkTAdH/GLNlPHqM/0NosN6RuVaM01scfOESkjK18mh6tXz4
dB6nefed8xpbMSROegDXoj40k4CimspBvcgxITEt51sLi/kzW6mnXIMc6PWjd5O51hx1y8rGsc0O
ybx2Q4ghv8fhP30LjO52NhQdMoX5DLWJEIK07a1wyZLOeJ9essWoQ+uKz8KoIiNzSpwnsCvYQ9bS
xI+YnUBkv+KFHfZqyB571/jAMcX+j4xa2KSigZZjvtIGBY1aNvb7AE0r1tPeioVWPy+Qjj+EwIe/
TYGajCFTDzbfuJ6xv7n1xVcjglBL1SBpEj/5JkHfEwWQkll5oOYLIfy1RbxPEsZOADK3zmCrnM1/
bXDGWRz44VZwoVQdHVVY2Ar4eInHgL8HicidUG9cveyPWNnDGbvdwlEnifmphHdbFo64k67Nxtoo
tTY01zI3sCGsVbORUKmGzaRn4mzCljrwX/hXZeN/mKl5sYuWxcPPsyNSTXlUDg9Xw5p/JKWYul2J
nXKzuBNcLtzURAWWI9Qosnm6QfNP0UTVVUGfzOssUDRppIIJV5vhyus9wS4vN5yd6bAT/sUmTmpR
zlgap70nu2+pvx4XLvioAldALk67xUrLXqeiHYz26aMw5Lj9zU2OWX4Ju0AfsFIgYLAzNbFFdqc+
lQ9BMbzrCMTxhG10EyzNQ2cLeEy18ohOYlH5zWvuMb6/m037JTfsAXlGE/Hcu+DOKqvZZbpIN3lL
V9qCVBL3zjQcKJDXmVyQntJL5/03P3qRzHmUtepbmeLeM6GBAuXs87AYre+JI43H2XfK2F3U3Eef
NnVn8OQjax8uAdfBg6x307HvGEbBiYsoS7Jv0Sw15iyA4Da9DmYtcJtbe6yGKCH5gB8fHNq08VLj
Gh3Vs/LY8Xw0grXF46DE22AQ7nKoQ6jjUlvXHyWFx0tkqFJ7u8Jv7zy90vYFDzz0QZClex8e0ckr
OSJ5gV9QZpWnx16juIpUo/rOPotbKxX1W14Y/l17tcqvYzb90HL34xe7fEAh/bFjDP2wLsSUnRws
WfSbZd40M3s994vf0lb1m2U+GC1a7NbA3f7im3dL3PzCzBvUnhWnQS7MjPNCop3Rbh35i4M+T+ST
Sp0vv5no006Ne+4Dtfl00s+B/zzTTwk5vTEfqeoWEanBO98Ykrd6uRZA0JtJyPVqra84pGs3s8mm
5vTpr+9GSXbWDsZl+2my72kbn452w/pDdkoXxe4vfvsS5HXYcLhheze3AsKM2/bPvbC7m67zfYlz
ygtAToFV2ylRJATZC+PVbRd4IDNSE5BpsFmxD4DoZSpH3Et/69D3uHq6SBfzuIORlp/Wq9cj5oEF
frafUnZMqKeA1TCV8Ji/7oRYZV5/Z90vp2LcCwAH4e/9+6lWyQjI+fLoTGJk+KSXwg05htE5YGrB
M+aZ9N3JcN7GyMfpEjNTUxdVygUSNjfar2Z+b+DgjV5Jzd8fHf1IBA9KY1u/0utzFKh2pAWneZfm
SfdALNN8KYAGLrFjs2CvvWPcD9Bpifj/5vlnLWvvK9IuL7/4/gEUTRAwA/+2V9r4UgpNP+v1rHYm
XJeAw+tgPZDH82gg/JtEwAiX6tE0LYahC7oiWIqGZTWsHb8x2TNmWfzXYIDVB2lxZsJP2usvwYBe
1OitI+pivJTD/ZoONr4v0sQbizHUk7566bGgHTfCgaU+PkMDOKPZqK1YTKiKJDmQBQSQcDfnOJZd
p93OGk/dFDoCD/u5jTnsANIgyU/ibPZ1AKH1TU8b+UHO+rgRg1ueBKAKFGTP0E/t2s5foNSOS+gu
8HUybbYj8HafaS1sGmUnzo6a/X2dGbi25Sp286DbkSVKAh5aP4+3nzEEprfEKIEfPuns7059283b
CSrOnnEm/hTqHS8qK8iHXgMJC1pGlIqhvp3G4IcmDWPD4pTs3QxN9zOdEEhuDasws03eWQd6Kvz7
ZnGXwwyJ+uhqHrhJN6lie+TUMbFjjJg398chC6bbz9ACntLv1MwZG5lgBit89UYNUhaZNoBK+uYY
KxpJzaysV89abgHo6clFfYYaNIIqu4yGgOh3yYa2bGhfDOhbzwAXxVcTM5yFlr2svtJpWNkI1WO2
7lW/uCsPsmG6972WObARVFX8u8CDynjYFKCeSuZZsjxpXhfPDvLNb8kHo/RXevzWs1Ou/HM9eRis
Rd3NoFVDU5bPwWB+tVIWa0drNrltrTGTkreg6d2QGAMhojlL48+ARONp7dY0Sns/E2yw0+Ky+rjm
yBvAQqLgNkzT9c4ioRdWRfcihq64d9MJEAOE464bd3K15bf/zVJYuqFv9ZUd8h8DFXVQdA/z1D3Q
oVTB+Gl9Hu3G9SCYVdqdbxGeIQGZHbpGN0+21N5tzZtuiZuR2Gf9D38JXNBl9XWcnQmY73KSQiyH
vupePh3L/y9b/xvZ2qS/BMf1/23uPv+c/+sVcsXvzd2//qFflWtK96hXN9GY7U9vt0dW4Fdztxf8
y0OQsWnscK/sSBfQ4v+Yu51/XUlOjq67nmEBN0Ru/lW5tnVEbbr9qI9AmCRd5vwnyvUfkwro37DY
bUzddCI4ge/+mUtnSLeTup62Bzwo3OFlkzp3Vj+LM6x8P/7dV/M3dQ/XMMbvSGqfrwU38FNvtw3j
z6kIOegEan2jOXgksc6rVMaZmtrgWfENnLoOPeGfX++asvjT611Vf5wBULcCgjh/tK332EM9zoC8
Xk0kHf4pjWHMlFfjPC62xTYzca2NtfgGzP/cfPrnF7964v/04o4Omw5HAk1TGP7/+OKdpnMYhlF8
WPtxfK+rGpRJRfjvRPPoclmSNXhOTP3ffeS/+Yodvi2wnPT6wU6/uhR+50IYh7HoZ9+rD31tLPd0
o4/vpF9ylsW8X+5THXX+nz/mX17QNbhIeTmuXh1DxfXf/+4FiyuYjP1tsM+0pL3xfMFxOxsDwmaW
9g3UuPv6z69n/OV79Rzdcn1ylRAcA9P/U9AF36e+pskVE9YuOAsmNxnMawG7LpEUbYYJZFUNAn4U
3kLlNC4dau5zI3CRR5lb4hRLvcG7jMo0J7yZDrYDQfP7ycBr/lWZ/r+5Chzvb94v3hDufZtfk5v9
T++3oXY7Lepx2jseaJInrTad5GZIKx06etuxMenQs44glFSVkt12jCfuQXXRSB7u4Q267jEfqBGq
mZVhTRp4VmVuxbVEeRntQ3CwzjDfapqydZPzakNZ97k2wVGAxXBWI57YV2L/6HNwbMpc/a1gsnLm
Sa/1GKX19kYAa7kYo7vcJwxBUK562TrffaKiKnZ5zMgNuFdU0d5ylnuXVcKNIXyWwXW0ob0UVRaA
Qr1GxA+43CnsYeaMjnc9EGeG8ZOr9OokNvK8WG5xjUn7YWnUfGr0rIIW45BglYFtM8K5LgS9qrlP
8egt99o8LvdB2TFoWJJOvE6FKV7XXrcOLgJSF3HIF6/4++S9PgykBhCTWb4W0vebwuidN3BEy6Xt
K8MkuZEIRgzjctE6zXhidOTH+Zo7TIscszk0Klg4JoyMeDCMgZYbEme5THbPJxWlzcywQhOMYBcm
zyYMhj6e/Nl5qya+R3+VfG+9bTxNAT/a6nfB8wwC/M3V3OWSp0Ow6SwGJVvV5iNK56IxhB/Azl9+
uVazIrWmKLPyebrNy2V4r4pWw57u8GFNxVZqN8x0oxEnJfJ3DLwkrw9grzvOHi5eqE8pNXvJ5Bw8
sz9h0j6WjKw3tcLljKzo2m/t4IvXLCXDnXZ1cArw8D+LCppFaDc5V8bCtj6yoUHd9AQ7KVNgL437
QIk5li5MZdAFA5YZbPI18lS5gj+fen6kgFEs5IYiv/YiXz/rTFY29NO2339+//Yysg2dfBvZ0iOq
7WvZEHUU5Z0//z9EvpuoVnrBurFme43P+pB5o4znNAi2U3edCmbX28Olo0LsobolyQ1Rb11Ecpgh
XHaLH1wY8xs9GjWBOCLLFRLUeQSaxVSZ0b+5POIr1xnQJO2SyC14FoVgqvEHmio3MGoZo0fVMn02
TXYcYE9pO8IcxRx3qaaSC4FUp+JQ6eC2bLJpTE4mMOxXcPLzuwQbhceoGNb8flaaOb8MfP3Zbmga
uRtMerjCVWfAqPm0d7c6aGqKgRy+5+EJMSGjEkAxq2kCRYNTFdFJxv7c6jj9+4V1drCs47mY9wk2
/Jsx5XDjUuUQZQLVBcFBnW1AZRHuH+MrkmYXC9p8wpEU1p3mZiOt2t2QEsKSzrcR8rzN9TXMFOQG
+XIjPU3ubb9NSX+goIHXYbvsc659Jz1qnF3E7mOTZ+5Z6E2QQACx1QmdpOYHXzTYAivsq10j1vE9
yMndslue0jzm4g6OuGYXjm22BINqeF7ybDUU3cSGZn+hNlOLKP97awywXlRMO/a+Q1u9Wr4sLjoE
ey4pVTrDe2bwP5hlTcuFxxzXspk0Wb53tYSn9NrnOzWM4tUxxuAZIzjONi/1a8aNUi6XdcmSZ3z/
xlnYhnhVwzWMKsv5bWn99LlwXBbM1iyfCjAiL0VP11YUKIeKNp3kbO5ZFrPVgKl2ECTQRma/fXKJ
la950cQDHyPdGlbtO0eH9Gjwsg7C+Fb3mkbujHClf8CLvjJKNcSwbPHw9+XRNS3r+5pKx92AVzn+
hj7rhyI7pH7w5GUZEvp/jj+j3ch7NF3mwnEu54NjTZqMLSAWf+CgNWZzt8A3mrZA3ulX/CMQzVYm
+QcNBexXIBqHHvs71Dj+/4InVv+FFhwz+R74M47+Drx3u139NsebkJaTDReh1E51ldMq7tVEe1ag
t1+V57f73G78Oy+zOK9xV+1ATfZlpGAOvJLDYC8ixquIMudaVBqSn5USnX6TV2TZN2DH0v7c+4M6
KKvwyWopHgvIlaSlUZHf9aoITk7isLyV7spF001cKUPKGAXa+vVSmlJMy2nWGmd6KVlLOxdlPiwC
/h4JoWyHuyo4DTM/TVRRBkeeYCp4T55P0UgubP5BVjZcgouVBie3EpzsU7Nkve9lv1eZZB2UTjoM
OwwE/gmAHoMuyLEVgQuTRcvCA3hP6Jx7yZm7aucRi9i3PS9sJav9tqqCBf9zCfSyCZoPsP7rpT/r
VXZ/9R0QoBezfcJAqOPrcVb660dteG+QVTkbWj1PfnPtnDev4vk44ASfY5xFDM0pGyJ5VoHfZMeg
ONfsfnlbBmW5eKGygp1Eomk8vjx4ozdd1fd7qablfpTsfWvsWBgHqkYdzdl0mXFMqraXWxpTTCS2
PmhfZ7MT2Z3pSN51Xgs+KzoGL9n0ufIuNhiRgaeFS/8I5sos7TCeMESR9Puki+0epxJCYgTvST0m
Wuu8upnBwqp6rTjNosdG9PcIPHu1/IF10TMeK1xQR0b/2gddeQHgwZmUGu+ZXU6uecGzuTBWRhi7
ijVdMBpPoB94PKX90pTbHsbbyjvJr98oGAKAqo7isT4R9OKB2bNUPSbXX7QoIHSuU80VVw38jJqB
zSvEQa8D8nMGcYVo+U6iPxuagqPA98TW8pFMvTY9SpfeChHlzBEy/1KVlBzxqBJA8JDe007lW1Xm
WmqAfGO3nO4oXsVvYLDdqHSyXznoyTJKqjpn+oc9aXYB0IE0Yg/imZl+LGGDnEHkyIhSJKqPQYTG
Cz2Dx6pYxS0/f3ch65cdSvwSXxctyI8apDds/BmPHloa96nJCFUtnratptnhc2AMaHRILroXQL0a
kgiE9gN2rhy0UTptDT01IE0wMeyXpTu0dA5RGlkZlwYqMPNNFglkc2Z7ZGqQ3926/KDbx8Eg1iZ7
puT4M8dOwnTDCBixKnzg4f/QKnUXLPZ84LpmYzB1Oo4NoeNdIQ4h9RpBXNX7ZUKTYG+cPCKGqG3B
QzQuugyQFiUDtj7at0wVmwd+bZ7LzVIdefIxqWHMjPKA1cuvXVJK1e2E+44wTqbudCXSL0Jzp9e+
Na1zKwkuRlaqs4Fcul0VVBS8SMy6xoWdH4gUqB8fjps4x2vOMs9BsgQFXLQGkkni77Vi/Yk9ix/E
xsZKKbYD/BT2vo57gx0BGrzGE3gI1X+zd17LcSvn2r4iuNBIjf7P/kkckiIVGBROUJQoIWegEa5+
P01qlcWhTdU+3y4vu7RIDTAdv/CGUZsTJLE5IbivOA2HrL4cW8c6R1exba76nGbMpkw4bdKgY0Wu
OmLu4Uck0LpgJaZb8C1/S8VN1vEiOw2R4JCuT2FBUII4TftXlH8VN15zbPynoF+jjLHpTOD7drr2
KvuBv2b8qYVP2u+RuL1MDxENHsasHppjUSEotwHDLm5bqFIISCBjfgk8l9Tl6Th8+7mvUn+eC0AJ
+JURyiBTfPlcUvLChfXX0FUqgofBKrtj2c/FDPAMC7p9XVbLpyBIOItbbaLct5/+0iCDogr/UQ5Z
MRuclzhVpVgApRUTWoVHXPJIQFDsdG5Dc+rCXOW0H0DlGaBqR1piIm/HCzncn17h/yp2f6nY4ZBB
mee/F+z+f/GAy+uf5brnv/G7Wicc9S84HBS5MQgxE8jCeq7W0aj6F1BNAQvFdwBF/VGso8SHIQa/
jgwDhhLCFEF+F+t8fgRxhZ+6rvRsx/X+N8U696XciXkdKEi0aDD85nuiaXqyrKVeSs4Y72dir032
qyjXiChrmhwL7ZthyJzlPsOibDj0i1tAzOyxCPkxR0WDkR60itY5NJYRSctRgaeQTohvTv+wyJP5
rrNLvMq3ndcEa4CUC00jCzylbj2NJOSIFBwKmSPFFoL7RoInsemS3LG/2U8o+sc0WTz05xzIyaPt
h2duDyrB38zISKKAAiLOCqNDpTMDogULENEh/GMiPzyfXn+6yZ44pZgCFC4NNNT5x4egczo6QKYE
avyr/7MhayYbRYYUxapNh8FYfqVilJVQphdpVf7i4E6XW8/4PuArh4Qx36cSUzzfvf1KzkvlDF5J
SiV8iUkKdVZqnycTJjMHxg/G24+CpCe/ggKA/u/qkeCmZ4kVpIgsQ/FLRLYhvgtHJNXmJje95gaz
XdSLF8Qh5ehb2UVhUz9N9msUr6DBipmp2A+gvNf7pAswP8T9LG+D63XNAYDvS+X1fos8cI+M6fPR
8mP+f/HP+j+M88u7w5M2g+xTgg452WBXqZMaY5TkcwpJuPppT4D9b1ARtepPZRHV64e3R+/lMWoe
RFnanN6+eBJAOanfgr9o1RrM0aPLbKPC2xRR7mGFZ7PDZ1dm3vupr33jThD4BVIGDfRI/QlHFfyP
336Tl1XypzfxjcgQJXl8xV9dJwh+LLaas+BRwwsIrn0g14g6daUF1P8i7gMAdf/bQfYpcnKUuLQS
uafNofZnXdUSsYVAr3R/FGPbYY7aLg3sbGggq/HbfPvbmUX472DAfDsOLk8oGgEOXaXTojFAgCJv
Ut95nEUMhPynsyDyChaoGVl3FCnNEBdLMOIp/vaDX60knzUUmP/C8ODQPamRI2JC5TjL+x+IQ4Ho
B8dVhPpTBKaS0X37UeL1FNIwceww8B2jGWWfDGiGt24Ov6R87Ml4S3mk2FndFWSELcQ0jFvj5v2s
1sgu39VpVxknS53k633WywbjZvJcMKnoxEel+phlmFFRVtGVU7zLddyFy3GcPHzuj2+/9KuJQQPB
R3MHupewRXB6oAmVQzGimPsDXnDHW+Btmme/NNIS+OTWZUAbNYLUhaP0288VrydGMSsUEGxK1444
PbYiS9hz0/nW99W3hEOZBP2REdnKsEFuYitc0AoFWBkvlw/IShDD0A/uOtVscVB29G2KvSZ8cHy8
1+F7DPhSQYkOnOWSGN/r/xbLsi9OFjAvSFfAbBMYG6E4nVs/JoMsx67+noQpMmDYJCzD+qEH/MSi
WhcbovWZ6mngX+PCm7KbehIYLoMqADkL3jL34uUHC7DMfgWg+PiENCJdpDYtvDr79XwAY6PC6eLP
OA996alSYjaPbXnOStVgMZmdqhsCruHKBUWFuV0ZmSPaAunAA50FB/CPSBsO89d1MSEEWsArdIOd
Q8LJIW+vqTHVdDwS5GlDopNSRgi8rPwZTKMAWoYVYL9+YPsr/0uVwtS678AC8I6iyVSFYisSoV9Q
E2yyaj+Sh6736+BKfau7NtCf+ox/gxEr2scMSZIAiyEtS2ZkkDcljex82WZuYxnpPIDkfJka5iSS
pgsKhPiM9FPm8JuoHUX8SoqlXhmc+XpOho8DQCMus6UFvzVse5zesKfPYsWj/zGTBFvB06wYruG1
i7R2+xXFAzRgI0+36VVBtQhxPtHP1SVEr2W8GNEgZy3N6J0zdKlOxXIZksVyWdrRYO5M/OccdlsT
tgPadzXAeLBbv7+An4EnQCRTIhiX7WxgTQyob1csv36OzSH226u07aMAU6NUNkuZbXvjs/zPZ7RN
S3/ETRGySrYsuRrtTzdZfcZgdFOAqMe5STgcF7fmO8XPo+ohxcPI+WEz8gvTNIAXq4puxHlcJMq4
o7qWJGpbGvqOCbQd2fL1OOjNcqlRD8h+uXiDsmiyKMjKTxU4CYlMKExplgta8A57SuMZxKqJsV5l
ztwZqJRBVIpIHoZ4yEP3wvKoLv9oy1kzhvWMAkGx9TkYRXQTFliTZbtVjmExnUMM06Q+8VqZ2C0T
s8vPFsAh5ktkiqr+VUsHr8KfGvsJ3lg6mlNgT5lT82VqJzLrt6NuzZ/i0G1dfaF67fEp9VJ7bIUx
o7WdMfMU2onDnHrglSCkmQehLGTexVNIQAZbSN9swSVsYfPu3DUIvKNGFY3Xy8o0NHFbpCmjX/dG
c+9LOnr8YauQueC1Mk+ZMW7xGch+jfNEqZ6US5o1VxACeseMdi/jA6jXLFETWuvbJqz431aAowZW
mg2cDYSOK1EGXqzs86VbVnN4JABOHuhrdWZLYwPPh3a2h5fGxu+JGxFmbYSrbyX0a0YBCFrTL0ey
6T4rr4zWLx/Ydibh3QJYGs2qBmxoZBtztQr/CNYfwVJEj25Vgp+43onQw0BtiwlTkq2HwLYOPkSt
xj0M+RKj1cHapuYW0whZP/jLMrP8wx6mJ+B6eC4LNrbLVEPD8H2do45gD0VrbwN8UdL3mMun4ICJ
1c0MV6leoP067GVtnSOwVaQLKtrtUPfbueh7a0Kkv6c4BaqlZ25aL4Sy/VD1WFSj6YRsZlzfqLKN
PKw0+lrN4TawU/Se9hzEHDf7wY0zdFTjZqwVaDHidmS6I4f66zFysxEPtA3yG14e/IAsZ+HsyWG7
8J1VNudrmmy6ZE4SYPN1MgpJx171ZvFA1jMrEXRc2xxyHDf4k43OCGsoclOsAC7BZa38rHVoVIEy
8DFfvkfLilHalTnzUW1m20LV5xrpSyQ8DhmkEmapEjRwk32NIzKfpVrbnIIjg8/KtVPIVvpgD83E
b5LCtPxs6CJzLuW2LuePaoB5gxiTN8YcT403I1R1CQWC00EziuwFEIM9C0q3nQuLjdlHG+oyxHLC
O4ZFTyn7MpmtkUd7Ai+z5sBxyXWkqS5yyyMq2rDzQq8wl+wwjC3LcQ78FH0UGXYL58MSJpb3Hl0v
LO83HFG0WJp2oM+6D5F66jA4dEyIZTBmyw+U9MhGfuchnPpmcCbsaGp1BvOBLuY+TrLJtc7HbF2h
QoQw43dtNFURsCqITDdRO/PlAdoXnPZ6mSRvLDPwdPqARJRkY2fjSjgNcn80I/h7WZfpZH62eChg
Olv0nk3gHNSWOe57K+TSoqpqM8auxGR22hCJxjb704pTdi6yB75EdharF5DVKcfurlc59fGNXMUS
fLOqqehubGS6bpVDtY41RAW4vQgqkPCHoNZj86MpuWMuO5p+UCB4U3eLXVHafks5c9dDLqu6eETs
cO0+lQbC+zBhNTC9R4MXhgYEioGGuetPDbSXDFGkZtt6rtePh2ny0dvuWvC/kIVLuxTv3IJrFdOO
QYttyxx1HPJz2K4Zt7DuMBKD8q9NSL92E77DHp0CR6H8Zi3DV+WI0bsJimHx4m3Werlh3BfOQtGV
1k8iItZpFKOVnuCMV2wl5aZ13Sm8q+3uEDkI1lzObI4RLG1+Ndm2aA5aSbROfAK09TYGHlhz8QWD
vOgXtHY3rjc4YrtAlIYcGcRDr3ZW7RiVCDAmGHwhNH+UjostfG1P62WkKts+E5NInANWxaKi+iuL
FXR25PrWhyavS+8OQVkIOWd2I5em3Stkd+fbGR/E4cqi2m598iyvX++HilUNIysIurtV6hhWdIGb
TdecoQIerzO8BdkEOzWvRX4WpUM2H1YQmzDSFbaPTgKLYe2REBAlPiqPiQPZd94Bf13anyrz3RHi
hmxquXHc3h/ssyGqWj/cjbntF8FZVOJQcQ0RxcrzM3wWCGuTn0mINARszDrMRwfVQh9mKYr87uBa
8XXn8GWyD7+jb3spokB8mtBNoMk0QWPlWmpKt2z8OwCXTePtmmjq0NWvAVkRoyxa+kRjkT2xYTBp
NrEmfpkZEVTnztpcK4qDhM3dhiZ87LjA2Q4J9iYcDSWCoBwlKe1pER2ypZhiunEuisDh5UrXmpDU
T1rYvVc+4sbcMkPlx856tkjJZx5GFLs4AnCVMpmDRCeDt12ghBfqbGzLNPjiV33Fq2CCI3N1FlsD
tYZmbH2OSb/viezD3GKUzjzHJwqmaWWiaJgWDWdZFqbm0kDoLAJLixa4byPAWQWre8RNvSAkqhwy
fuu8RL2TL0pcElJv8v2yMwdiWTjc0RPQJkITSNYDA4TEurk5QwSeedMuTiTPHuUq6/VGe37LzxAD
n/kwO6sj9lLv13ipnvXIiHKi5J4s+BUnE4o3qqKmR95HdZhypmcKq5L13hnGLvg+AfSuD4GTyepd
XGeaaxGdFBNLVY00IUuiBjNGQ10Fg/g1Wv2Sqx0GW2iHb7gPqRvATEHbBJiV3fkMP2e48cusn8o9
QV+aW+r3DQbEhHHM8XfiRAvUZN5euJHFQDaxl6n6bEnpd/4qRouB5ZjJzBuMvQWN+fjPSKwtW4hO
obsSkcoq4RPrkv6Lt8tFtYS4dAA3Z8hSmzjgk1/Okf+lQO08v3ieRi5MIe5J/8bhNmyjmW/sZpVg
jsZeg6m4ruJcQ91ese2I1FedSx/DJRT943I69whH9e0qEZIGDLw2pvjUdfQ5knNQAyaosAdaqtNm
chaTyIcY8QRfSup1YqY3Zndy2MEQIUqJcfDkutR103X+ESZIr8MPUB6cOn0XRNLmfaANmn3gYrXB
V9U5QeYtnWKzRdBBNAWvKmv5hUij3f2QiYLUOG2FWWBuNKatc9Y6Eqcu0x42t2uidcyliYkBgerW
dRuiwMDtTLw5BGY9RkWWEVnbjED2K1qRQV1Qz1zMbxOVoHg+FaHkuhQwlrnDkgQWFQVVTAVNMO82
5m2ft0c++MwLnbaaSe16Dr4S81ZXx99Qe4/T7ugjeCPZ1chpskxThAXYZ17nmbVbVI6qrspJxHrY
xQUSeyjxD6jxEdROWIOmW1r+Jc+qIN/rW7vRqSlWCBNaK12T8sUSzN+D7sbUyJfksA44XJbJwxsS
5EtewQh3WGel7ZgkMGt8MjYbqzEmBGE+wksST+YZu5d1uXQnh/wpQM9/1mez47b5g04Efd1t9Bz5
0ILXxBp9HdIrRgoe8ZkFNNpTRhyulSIwmOPYJvuCH+7yp5icBTMbC+fGH4h3oD5jWyBRt27SJKQj
uFlhRn8Mg8Ydb6H2gXDYWpNg/K1EmaQbSK2JwroZsSPa96ozgXzc1KyPqI9iZm1AO4xwfQ6tVYE+
AQdIjIIn5XrPqJsTdxUtOe95K5sKGVzyB5ZT4PN4SnvRao7KhjM5ODbSRzF+j6EJS/8osJ4kVclR
jPjxvPUqXZjQqrBKozdgGvF9uxuQYDULA+9RXtOKXHQBYQHZ4VS9t715rloGZDUZt6+sgYGcMAZj
i4MhiZurIMg9gtdlyuKzCKGJ8WMwyxW/UFBnBVxvh5yCiw0dipgkENMWeQiQM+FjlDd0nFVZW5lI
1EEqjXNmes4a5zzO2aVthjByeUXAPwIjonLlFHvIBSYLfE4simg1L12vkD9h8LfBQotyCFcyXk+H
GQudJMlm9SMDXDGlqRjNq4/VzE2I8uYYDcMeFWQvv5JGV5lfhGe0fliQWmOtDUwj4siwONL0yWiq
X+kMJMjPPLg1/HmFBOPTyaEQfmIMQe+aVfl2jes/1IwQhQJITUNH+uK0wBqCCcLopJi+z9Fg8kyj
MZD4OwwJ20Jt+rHj+/7lkadVNcpU9AV92oOeAYSf1lkXbHhDewiG734wme7N89IoQgjIf/t2rx+F
ATgxLpriDsVzo1D+Z/nYAfEHvtqtv6deZM6nOvBcTVDIYc3Z9fZIPlUD/6wfC0rHUri+I1G9f92V
6m2BJga2Dd9ntxxJZMakBPS+9QcvYRsmQJG5C1csjfKHsfL8niIKbgUhbPzBIe+mCmE6G4qU15w9
zyfz795HhRGOCZGk33MnQJue+NPbr/9qqFzKwgS2wnZJx+navhyquYvKIZ6k/4D55Mx7cEGZtJDL
lRTq7Ue9WnMuhWFFK4hOEE3d03o3YVTqwKJtHlQSuuNyjBYsXO7FKs0WCaJ4+uuSO22hCCYGEQIH
YDYVdsdo4/25Drq2d8OY+v1D4yXmjBrmlCriiMgjF4SjzJ0VKeJ9gomFP/9Essbu3nPalf7529/9
dJjpmvqAAExXle0GGuDlm0zwpICpxu43ahKkjvDQqVKhpGnS+befdDrKju/afFvAnzyN4thJzw2d
oDZ0RSa+jRi351fIqJrUPM3I1I74OJqo8e0HvgQ50DTxaYOFQPwNKYOg6WQFDVm4cpgs3TeUX009
Gctbc8xxKC7Ma9S1xSyQgomXRG1lDslv2b/9Ak8g8j93IKEWaDbbBX4O0cR3nZeDS5aYFKKR1bc2
sZe42tPLWvM9VY9EZXiQmbBFd4kJjQMP/jGiM89FccsfTMmrDKBIJefT8+CUmW9KPJT+F3Zx7SmX
bGFFDZAroc+nOsROyh0w8tukIh84reXkm8sSNFkN2CeJQOfA0eR0IhYZ5EjxSEzdjAiYzinR7UOC
eWc4T2ktQwurMQnnMb1GNGgB6OxIspg+bc11jlYwsY3sXXPFQ8NseC35XKDvCe05NbEZN0ETVqJP
EZ8DLrTB5gsPHKo2fTwx/sDvOyqTjp4BmSIqllOWfXv4Xy04sP2eHfjISML9ebW0RzKLBDrb8rVO
WlCgx7gZTAqkVugY9IyeS9ZvP9LslhcTzlGLMx09GtxZgPKcrHEaZYDX+nD6quLA1BjHVAX5FWRM
J7eu7R7tH4TtC8BVzWEWCElShIWBwr98+zVOvzl2fp7NyRkovjaN95OmWhW01cRcJl/zmvLnRVoi
LXPn5JPTvXP64frth52eIBhPAFmiUhSgQhR6/skihzoYp0nT999022TrvZ9JsyyyrDGR1duPck62
NJ+OBgemGoGk8+a69skXi9HvKRCVce7AMIMtjShfDvEhpoxKpptmE7cDsPK15P8kBRvW5exDYCBZ
8zv0zCnrUoIh5TH9+wZrceJQsaIhfWunMRlKIjkEfiRoe5qy1myZMkA4BDWbUIeBKRPnJd2RW20B
+axQ7/S5i+LYMp0iVE3MeU1CkIPJQ144XYpDhQqed/X2IJyMN2OgOFds9qkn3dcdU9+PB9wvxvkO
MKS5mUEsmi1nTTWZ89uPck/Ws5lTDi/QaLCWqOufrmf43NRUhRfdhl799KzRp3SKHKgJ9UeOeo6g
5957AUiHUUAly1RJf/+p06idpCQINoPre9LUM8kFG046p8R+aDq38my01ne4gCSorKZNiW3C4iJS
7e4RZiE9TlcONX343fijW2SaSFaROeydNbRXfqbr0kz46mc8xXrqjsvn0oQWVEAh4Bp3J9qPgqgF
zKbm4K93A9wbkxk9t9DYkaxdMKYmeY4iqhzuZhGwquu/3Lfhy+kzFkR08m0HwBLYQxuS1ss7oeUb
6NBuoh+FduWXDIdq3Opojx6DPGw8avwJBpzerPDwTIsIT4moOpZOXtzrOAX/XOFVSdM0dvFsXUJ0
25OhvYvIX/sPxdzrZJuE2jki8fexpNX2QzceguxBB9JySy8neK/x0bhM7LS/4kZKjFRqovOd1Wfu
55U+sr6IuinzN02hbG9H1TC/t1ZrIDkoQPBve9V98LiV8oNXWO6VXDrcWpoF3xTFGyb08C+KwqFL
kBkwOZfIRAtvEMU3UBP+5YK5IWBDSGFi5zadvHW4nx8aQOHYRHRBQgnDILiR06huJ+mO96nr4qgV
2pZXwaL2m6/5qCDjWE13E3h9T1gUjcdsHrMDbYKl2Vb0i+btPKnU2iBIpy+KCuHGSWkKNkmWfR5h
WlI1j8YcJG9X367IUewIP42DqGV5WzuwP3rDYn93lqH/JuTq3SWjDxNoDsrLXPbpHre89PLtTfby
sGZB0FbmMIPrSU+fQOFkQdSUf2SLFtAj8wW3CmJFvg+KeoBF39nB3dsPe7mhnx8mAcqZa54Y7jQi
AetOaNep6jGwZQlGaLZvsSVwelyp8yvtuUbGIK7Lj7QIoey//exXK//pa4LVoWXDIX4Kmxj9XtVg
pcvHFmFF/JGLJp8PpQtP/i/XxNMn/fsafvqWhl9K3KcEF/JpEjmj0uhgM5g8igl1YmIerotNTcKT
7uakkJ8qp4w+pT2SJxu78BWK9xpVtzOd+sFuLgZgX4D1gvdd0KmLCif6O+5bhGWpKw73ZUnw4gxV
ic/BILyPts6qX+UIVbaiPPtRO4vzWWXkqRtRC3hR8Ajeu6ViHVuyDKje5PTixKQorHVqeUR1BueZ
duwOIvbtBzzw3O3K/P0lFjoB4TEkJgwgDGJcXO7o05BAWLKfvXBZH73RDD4c+eTMrbPiOK8z/B+F
26KlZniJMU2PFqj10asWv9q9vQR8s5hfzIw0YE2DBxEA1QJ5EiCJPCppHySY+Y40DiinoYY3h0hu
7nq6JMNOe+V8lOWAymRqNbg2UdE/1tStrnQTaFxAZWy9X0XsHd11oXDWReob4vEVzqq5dZUuFS4K
mJpWGBrfUgMt3tcWk4a0Qjsv23WYabsgPRdtZaMQyHBIvg8T+r8LyvrXrmxS/H8oeaboUb9HfagY
dnXUj98R3xrvbN/JP1pVyAURzGI6uM4wIW7bpfHtVKgkQw7X5gsgvaRQrYxpAciszWiEcCfeeL4V
vkuTxfssqGpH6PDniPi8Pbhm7E7HFs890v2AbFY6Zv/9wfkdKQkz7zJ6bAH7X1utm903KWqtsPIq
+1pM5BJ/eaJ4CXxlVUnSLFC34JEM7euUTS0gt3YlV+fPrMm8C8pmmDJF42JdUqhETQoJU056P+4e
G9cu7pFqwsgmVfZHSyv38Jdv/3ppEWpyfDoolYPEPcWWd1Pp99ioVD/htciCvL2OvtXdip8YSp7+
pkVImAoHhjZIzPjUCndZEvjHBDjsjjqJUlsanmWClFwgv6QDdheUfimhV1afXCGt1h9b152vgxEb
FHwXYm+Dro2DVu8ikOmJG7uEuCzCGorD6jdnFsNyyPLBulKBwAqBUob1Dn+tBU8Y+NBIZqTNIZ64
vbfoveTvStq8RJRuqWPEX4oKSAlihHtN0/Pe16SmxCL9zeAguZuUhYvUhCylzUqkXbQNqPp9cFVa
0XIFUYdM4UxfaQiKIt5ib9xcTY3q+02dohC2ZfxqDIJCiX+mDY/oM3KE6RfsuodfXupgQ9/rDBnM
t2fn9fnDSlGA5oCuoavwqq7nOnRC83nKf8IBsOVGTSr7DspjoWvIlJFTyce1N4qulfV90RkW0kug
m/Jvr/EfFmxoIMhcfaHyqA283CMgpfqyX2XxE4eQZUQekQkJ1jEp3qUFzuf2qtUtsmnjAdF/nCtU
NH9Nwk43rJNV3P5lTP7DhkWEitoyRwdYy1PE7lqOE7ZoefYzlnZw0wai/+QUqG1JCruX3IvjNYrf
w0UDff68mF1xNVSSi+yJY5bKJASQXE0aKbfR/QVyvoVf26b5zV/e8lXIIAPwrj5bHMy0kYl4OWS6
REVItd74k6p3G98RWfg9mr/eshl79PQciN/0lPo1QMu/8+tfyWpLrAWQr53OXFn39z5uJ+9sOeV3
Ds4kdEi4BQ5dhiMZkgGZ3KIMaf1eb//Hs/gLzwKXH2qN/51nsX0o0l91V6UvuBbPf+sfroXw/oVW
hUfT2hQo0TL5h2sBptT7l2dyFsoLcDGEx/b6RxnFQRlFkiTaIJbBQRiGxm+yhYsjJtuN9M4GkEI1
RvxvyBYnd47RQwkonpOPUrN0qfCYePqPaw4PsLox9NLranLVXk+gNze1mxGu5nLSHwPLXy6yWRNF
23Y+fB1qT9/BNsOkqVfVbwWe/wq6Fy8rEk9vQ6mFuB0aCZevkaX5820IkoCMJSP7oK3EdYySBfRs
WQfE0XqoiQQmb/wqNfxEcOkhp32bGZ5+tPbS2+JbUj2qYbDf8xkJunZFIe4o8IXiDOx89BNEsZj/
ck8+hQH/DhOe35jAi6IYdRv7VXHIMydHoJbh2iUSi9HlW4s7TcQGlk0uCC1rGOvZLpVRuFnNSQQB
3HbPSt2hY4AIxfCYzD0mUoRn/g4eca0R+E2IsmXno5FIoz75QJp2UfYq6XeQwdR9n7SXeTFB6ASK
EFzhYaTLsz9W8Yfn1/+TZPJ6Gqi8QYdEsoe1QSb1chok2haTBdX1GvUYdV/H9F82NLNZGk0FmZZ2
vrppIlF8efuxL3M3sM2QaqjzuUSKNK0c17zWH2vRt+fYa/q4uq5C5GswARuvKzqAaRgl928/6eUp
/PwkdEqQzKGyqKQxnP3zSQ1GUmuL2cp12NjeQ4s8d3EWDSEiXnmT7O12hDWPKjrxRwYQqvzbonkZ
XJnHm/QBjD4VkIDT4eTxUrppEqNYcy3RL3kowQk+5HgVFmf+WvYID+LRvthM/dlUtEgct3ktfw6F
6s8ntXjvZlr5tJAJvVEqxbjmzu0ax90lyOr/bCBl7lAgKuXWV7i0HGFgoPP89uid0Aye3p9rzKHP
rhzP1GBeDp8djHi3+pGF9niEkGM3IMUgrHyovA0RchVfTKDCvsehat7Na5uASvPmdOsILX8Ncl3r
7ZLE3FSgUH6mnSsfNf1o+ZccjWImb/Hn1oSeQHACk8Xkraaq+vItkW9NbTRO3asM3nakwt2gkvXM
gLPUYdBgprq5tT9qwtkRsHgit52o0LUAlFV4iMXjPlp+agpwJcQIU/x5wk7hHGEGVFT9trkDYETJ
lOwDmEWWYRw4uNm0ibK+up4aq3/fWisCzkiPI0yzRhDJHZ2URz8Yik9OFn+IlwrnwmKU7fUQtbeD
A80Gaq5jZGQWh7PBG1eAjFOYvaNjG36N7NG7SIJQvMMTVqvtZCeYyjMc6bkF7g4V/4U+gwBkavTe
flBpHG5QicRBCVFxeYj6djz3Ise5bRMxgTGTFrqIAH+RPnDtTm9S3JcwK5C4aTa9cw5EuzkXrSoe
U1JF9r1b5jewSWa5gSuHoGfUjduFcTgjR1bv26mcwRR37UGIWeh9AYQx3uopDtutRi90X9Le2I2N
ep9EVmzvBBy2I1eNg9KznZmysCy+IJ2cXDrgQm58d8DpT2WWc+iDcn0IEcHc48gDcFajK3iw8Lh/
AMY2/erjBiXA1RnQRqliR8eHGeoxm2Oa9kusx/DQ1ZFRDHDLI/pI/kYFXlcz0KUm3uuzDGhpNCEu
W/szRi1DEW3p+lTlWRfk+9jDsObjRBlgl/adjfoBKwnnE2pgiHGj2/EOraW1iD6OUwtqZbOkYJO7
xyRKHGf92k/WLEuENoD95PUPB6TrQKYxDuPY2Nf4yJT5fKHSdj3TCjT3edmllBIylPFvbNjd59ni
wtwdmYMIuAXMLKarDEMgXhH34VDkGCwHODTZW1AhInpPwoxJ9DFfJBxtmBhqIEMaXFbUhCEG3PSR
u/CAM3EWvddsnQDQQ9ig0iiwtSsPyMV0yihleirazzoNtlZEBOvjrWJX3pY0H1EIBBSn6DAVEhWm
HtQ8lPAqLtdtuKIXsq2w9kUqNDHMZ91jioV2g1WCEIvT8BfeVxJxQ7t2hrPUC8fw2reiOLqoXDkA
vNpWwCDW5djbnG5oLVLVKPcRgpLtQXV9hahAEZTL0e77stn6QGbTrcRKoTjr0haNDabV+UyJA5kE
2jmYX/KPbb1HDsdC5WGoqs9o+6jy3O3UUOzzZAg+reOApngGAlTgZZX0ElWnxEmGs4gMpbrhMnYv
snh1crrkvAFuCkW87kMxA7QBK9VMV2W4sLQttkqHVSrYpQ7tsGIXR2487mSlmc70iQtdrZm7/gQ8
oJBm5QXQbkdusj0XYMmPMcrH+GDnoL52GDZHu3WM0Ja2pq5RH1ADzlDTTNts3ZQU1a1LOPa4JjcR
ltsyUbLZC4r49XmSwuzcI4SD4Y35vY1QWEyzfGIXHSlkSJ7a4hbd26VerA0YTtzTxFqhEbUJNY7N
twAtnfE6aNQCjFC1w5U/4uh7Fvcy5y+oki70IYLFWX0FLYyYULuUUM37yV9x9oaWcetlDnJTc0QF
MkRO2z0AlZHuHuIgQhTlCBpnV4Cp6rdgUkDTwJApponIIoszfdMDF/nedIl71HKKI/S4fMj6FTbF
7sEvagCxT6pf69y43scnBTExWPwGHgx9SFF8QUUH4luWHrvZcabzSsaweJ8kMyq7NYszy9oetZEe
xYF58RCqstuJ2DGZKl6s7jl0L7nB1D0Se6zuklOy2yEBO9fnAIUj50PWjXn+yQkxCj2fPbpjV8M8
mOAzWeYPPpDReV9PJY+u6xX9Dcqmw3qGfLr58h2CZRPnE+/VlAJpo4pvAeSUoTLcC7hnuWbrNAXQ
pY9VJ9ny3UhU8CxGBaq+St63FOUNuqpJbKabXvN4VaK01eNoNLbzYQYp4GLQhhMes85mQoxGcIDM
Spg4mRIrUnyuugh1mqKsn/g56wJk/sNEeQ8obpctn9xhtvvLmDA3u8TSOM9uQm4LBJ9scd2quP0K
+RuT5MRLUucCuSE1XkZJjWLr0tEjIsBdsN9zGNatLdvlR17k/od57O362NqLzj9PQRn3xzKyyl/L
qswZQgs82ZEHhO4+pZeDCEpQqs+WHZWHcmpicJ8ex9zSTcmnFNrzpSrRJN/5TufEHHs0wTaAHRDP
ySwd7wunYpuswNDUuVfVov1ZciAvF6FgSe0nc2LvMx95xsOsV73nkpnaS9GNDgA/VQyam9bF3Fl2
bfYNP091a0GQERerGjrxOPQVnsmlEFKfp5PDR82lSNatN8VBfN4wLXjn5MhPr7XWw9W8yOIm08CA
QmThqcNq/7jCxRi3OUii9awByFZfVcHsvbMG2xgttVWpL2NgxpCx/L5MbolE0AJCkg1LPZn2GvZ0
P/UUe3TYcgss7U0RtyL9IurVRRl6JQJb7hoA3IoP68EdJiC+4wsraqbvSQzwcFtI5H3PKRmKj3Nv
RetZZzja+xSv1nVDiztzP+CnsPrXZdDg79Q22sb8WyTg+BEqmvr9lCCrtp9CVNVQZ0W3H5HjngL8
7MLv0YUTYhgO+p9X9WZcDRfUdVEZb/qg/Tz5i7jNwEkBdetSo88Wl/2HSlWCA9ZpVHYIy/9h70yX
4zaybvsq3wtAgRnIiBtfxEWNLBaLLE4S/QdBiRLmecrE09+FktyW5G7run87ukNtq0XVACAzzzl7
rx27UyCHF9MfJt9A9jB6T/CGIHBNjGntGztcnLNNyNyMzZ07mvQYxMFbCgclj4nVZ9XRa+vYujOZ
bLtX2BQEn0tKLbrJSLqCIoQondywkrDAmzwPef8tGs5tF/tZvGYcrpPAbvPcK9f1INSFsfd13PxP
J+UXnRTOSAbn8//cSnlYEkv/Z/2aVf3r9+CKbz/4rZsiXPAUPuQDHzas8z25ArOu/Y5OCtL5xUxs
ust0/fduivNOUApQdNPJp0VI3fmtmWKb76BZYP+ixw8iBk3332mmUKb+VHLw5OAy1NFAEikEOeCn
ClboHRVziPfGto3xTDgjkkC7da6KHKWSh7tpTU/UvLdyd9z5lT1vjFGJK9/wcbtl1fSoMkajuIaK
ldH0pLkzo2aYm5KIwHKWAoMv403WRyRGWns7I/oqtFvyxOzyeRqyu8m0e7LeI5+FiC664aZyFSJz
ZvMmRo2YFXIkiH8zH/qSfOG6Npf8uag4EUnYPZaWiIPO6+21Gtr8TdcG3FbWU4p62qoZWXvhcFY0
Ou7TynV2SBRt9qJ0KO6TdB4OBMg018qLGSrJpsBmYs1EUMBiJ4bb9a6KSBabNJ37g82Madt3g7VK
s2p28Xjq+omIKVMGk63C9SglfWpPNgyGFEL7PWYffaMzuF9RdjlHvfX3DMXva/pn2IWFcYPf7boM
ZbFOpYAP7fcm57tMAXMDxdGDw6USZn31S4KUm4juajJh2MusdsXFKq5n8IFbz9G8Q4HlfcWcA2qg
7SEpMkkz30uczs7KwVS7YWV8aJwSIreKnwWDiieGJC5nAW98KTE8BHHXiLWOIDU81a0y9U1exRyq
V40WG/r1WIbW/FC2VpYNmwSFmcYGKRmLBxU2iHk7kJFEeVBW3bzSHfpsgUa0O54jh52ZcYZ/IpKd
7MLJb6gcSWlspl1hdgBUPUfuvKJkypEYtncri7K/17weT5ni/B0jo5k7i8ZSlDgEM9A7SFHAZxvi
cukU96MoqGwGOztpKkEqvtYKiWh7h19hbtsbppqAuMjXqxbaUsBf1JHdUo+ynMuDF5a9277gknXu
27memHcINKxaihG2r9p0Ood9VuzKhlgoBrfePI7TFl6SPsw7e67b/l5w8FLu06RzTHjQRuX60UYT
aU40thkVgzS3YFZ8CZAPPw8L/c2U0CRstmxwJVnWuW68J5BJnifZzFRg+BwXAYhBDZhpBAyQFCLC
lTZ0QEoTNWrPceYk2dpk71IBXhJ5k+G094HENG/OHDVI9Yj/vYeur9UrVpKGioyW0HPolFlxAh1j
GquiVvrtPE4uuE0iqGgANDGpnQZVxoGUwnhflbnGpgoKdzX5A9l67CMRfK5Wvs+SnFA4mFoWKkbb
XLMJRrcNjLNbtyHEtB/regU0rpwAp9T6zax3zqaIGn0jy3zeM5Gt71x4y89CNgx1Pc6EVK0q7ZbM
IKMl+jwNr2hIhkAePQ1HeNczPYh66awNzehpKBjEvPTjnBEFRpWtEFrF5ibWu/6e+qy8oyKMdl5j
B7ExOrciHaNHrNLyus5rk6mfFs0vl1X+nw3xFxsidxX9qP+8H4Jw+vha/LAVfv2Rbzuhb7/z2cwM
G+UjGyLKzH/NFXz/nU08H6LopYPOr2y833ZCC+K6DhMNtcDSevS+ywq39HcmDUkhFpyYQ//1b80V
lg7xd7032m0I3JZ3gUoCw9vPFPTUqE27s2xtL1ACkQWYqnk/gOv5xdDvp47x5WUQ3ngI6pD//0n5
PRsd6+A8avtutmFKV2Q2WIPu3xYT5v1fdD35Qn/+SAhALYYk0GNc2/mpnci1SDsxWuFeGZW41d12
vIHpYx1IIF8oFsR7/eIF2Uj+9JI0w5kXovHwEbnrP/WJ8Y44jeG1IQ9+G1JpNlV/rIB/VgHDdbLG
fQa/z8yWLFbJIRpxvuZ5qnZuNZGXjQpqWIGMBaxIAGiyq1PcWHj7mZ0o0RJhKZP22GA43zVhJHYX
7ixjXBPbu2Qha43inGeYbHKt7Z8M8pkPYmyxbHNqPoWqT04kRiBpsUCRAsbQiytI0GoDq6I4m5o9
Y0zFrBUjUXr26uhGH1SymbyclkSd6/vZhFYFEtv1VzGw0LPZDcWX2ZqrW6xB6ZOpkwgGtDHfOk1c
roykGGmzltNer0IwLDOON38kubMFBLAxYlljp7W6a8/oqxPW7gmBXWa96nmk7XN3atZzq037BuIP
RGgpQhLWNbP61PlFcXTnxdlezfEQ0BCgHdb69lanDfySZJqYMjROrUcZR2QOSusXaNqO6o5xWadb
D/UXyaoh9/lKJ7kd/ZNVlB8BbdUvsML896nIzHsR6YLcMb0Tb6nf1USri5Ze05Lzis40TeS2RcII
Kg8tzMcshru5Sko7v9XzkVRo144oaoZpIJW4nJ7RHOWrLEzatWnm3HspwIXAhj52m1jGfSwTnUw9
zgtxI9wNFPn2pSBoZFtJvQdYyTQvkDi+39qiiHdxGX9SLRHzkeU71xGkbeCrM6baTceXE5dhftMA
X3vP0Vo7W3SKjvoMOCXoyOlEWTDq2jrDUa4HWqU92MTlkWOq4z6YSqyMChWGnkbDW9ThBcoMRcDc
HBGluNH6RBz4CjpE9O6nps9XE8r5Uwn7K5AeJ09Lkt6S2ZhsSZ3JsuhJdFrCTVrnO43IIQr8Qq46
SShUhWJ9RVqjizO1v0611rYC2UcKSIOfvsJlgpGheRD6B8YjlUsoIuaa+3DKzaNLG8iR9J+w/Xs2
tzZPj8TKeGORXLVJjfGzLECIOq3W32RmOX/sZQU3zqudj7XMsluaa+Y6m/v+viEGHa2kf980ItkM
zvxBG1rrZM5srKaauxNxNPNmEu70UJZiIDNejIR12meI0+8hQ1cITDMfpyYHtBHTHRGyJIuFDCjo
UyN/JidZ+bW5hB6l4zqLiszZ0EdQ0Ibzxp2P/pQreYXCFJbCCiStrgcgcCMMgN1ko3+R5tBNBARp
VbMeFA6ER7tNfQinhDFKf5wePYXvTxiE9a4dFUMx1kLwYhxSiJoXvV+WOxi4yHgkdGh/S96ASUHj
T52+TnJUs9sOmyEnhghv7pbz9Rzdj5nDn7TqZIxObkOMclAVbTndRa4GQiWo3aaLr0WojVUCiH5y
XswazAgZgGWo4U1qpTCf02HSnG0jGey8eQvvOojJstcOGYTToX1AOl4Wzc4QXfaiOXX2IMYCe7m+
yLKqwnP2I1SQZy9UWgszwyQsGaOndXDkWME44PQ2BA4my51DE/gwmWFDOIJ09oxh0NPITBEwWMzC
eIQhAEC+a5bf9kI3fIAkMH1yTXIugelhtrQzkNpVTj4BZUOJPGzI7au608tDgnR205OkDgS+CREB
4SaBSWzb9OY8DMhbw+0wurZJuXFq0a/KTic7U1NxwRVAiSdb/qlhGvEwd3pIlm2pDfWaE3RxlpZd
f7aphsHChkm0zUwbZoMSxbwe3CjHnQMg5YpGprjNncR9BTLH+7Py0WAS5BVn+BjLhB9xVbnCqsX/
52h98YX+Tf5s6b28y7PUndf+XFQPURHTgSJ/YDBYPPAA89zm639OgWWf9OoXp0DL4djwV8fA969d
nIAmqsofmiJff+xfEhP3Hdg3zm3f2iJ0Hb6F7ywSE2wNFsYtk8PF7/0QwSnQhDmIThorlLMQOH9v
iDjvHJtTi7AQKNGk4N397//5Qb/R/fTv3+sIfjy/0FnhXEbdweEU44z5J33YwqiBIzC452JkI1mV
iRzO4PB6N4DJ1f323Rfzb0QLP457Ly/GoFcsGggOxUzXOUx9px6IHGlD9Ovtc6yp+qW0K/NRUdw+
ZwkR1kQK6PVLhCDgVYwgsP6Ll8Y/gyJnaSUtrafvXxpQpCH7yrDPs5C8tABht1l4MXLjDa7xaPmS
MUeH5dJadeHMAeyvX/7Hk+nyyZGn4oGgIMDquzSxfnh504ISQ8lsnXOkXwlnm5GOv94Pc31IquXl
JHPD41+/prmcPf844X97UW4VmwqDKuNn7XtZl+EQ1cI806E16R4R32IWLt1YJK50dzEsHO3E4sUH
Y2i7XdwP/ZtbY87LNSIDVg0+oF3tRancd1rLwGeeIccju2ZxJOZSN67HOkQjk8wV08SuNhCTyrwE
aP/Xn+NHqcvXj+FSyGMyWwT1P4vbfVgcg2TudzYGjXtlWbxlzq679TnmPOIeXyAzRDb89asuAomf
vzwXASehSTwY/O+PV8xlN0ml0xpnDhrGI9HInG+w2X/RU9mcL9lJjl0bJwo5TCVqIWr/9ev/+cFc
PGaoUt3F2EYH9MfXH4UoMyhkBvquJdZkeWDIWCU+ZWyMXxjajH9zo1gGilPEqrwgzZofXytUHoAm
fTDOdiLkvUaQZraFdodwmNle9yYz235lzrA8nToj5tpbZoJa6sm7NCNe++9/cMy5rJYGeWB/umtN
W6tEo4f6eaC11qxsL8yrIzGXnD3BDYr/4iFBnbs8l/wHp8hSJn+3JkEt1BPNGs1z28EdICmYQeQl
h2ZYUomKNrWv6KdxKGCGnQM/QvZUjEKSeJsatG+MdK6uNZfUj6hxlg6kbvrHPhvFhnpM3sUxPUD+
1pSnjMRJOR0EnbV8+9df2c/O92V5wWOFIs9gq0AstTS9v/sQsJbDwVfCOIdhSqDT7BGqcLlvZF/U
L21baKvcn1j3AMYcORjC1Upm5vOdEs2+vqQdJZlNTMQ8zWQ4GCSRvF2Si/76ff6bVRDFD55J3ebN
Oj9bwWByDqMb2sbZmT2+kMvXbGCnfTF0YlWIgvjVnb3soD88xUBduasZRdD1By348yviqDdTPVPd
eSIL49rpC+cVUM/yi0XCxkAhc9daLmEWYRIyjsPbEpfBNCnxkAwZZyoL4umbBcrpLoWMudM5ib0k
Foc6e7knLl9Rx67hIgmKxRFmTXWtUJMdNfIHrkwyKWFnDNUvDFRfbQbfL05s1rR/PPpH6EGRNv50
085+JrwmUdG54qdWolYz7D5PS28bC0PuvhzjcUJ4Nqb92nQILFklqJrjrYgjivacv1tfKVnTv03N
caMv6qNxhs+xj91uMFalERG1rYVOOK91axYUvvGkPdUahs81FkgobhMmcsIchIfkEREfT0ZKHNKG
LQAlUpYSPmD7dXkeyj6+9rsiPZqFX53Q2ZOW6VctUqAa5fcHNAHZrVGp/JOedcY65xxAZLqaZwh7
cozflFMp99BD/1wnjPKrAybDwgpwetR3DfV8sZKxcLEYV5Q6DjpP0Dyep9XPQ5kToGSFnvcgBGb0
oEmjzA1ac2xImcGgASIJTWi7cnvT/4gVn3yvEmMy3BNYsej5hsGmV0tUhnYV4u86mtGwaCvH8IAJ
WTyoaTSGlUfx1nJSZ0JGr3Yx5TSdmcXoa6K6vvOiIidtHr1HuIavIJ6jeGDbzbhHPAWfAuAcMXj4
EZl8czTAv077l3dH0tNrJ5ac04vIkiMgC/FYswt0ieLHlAcdDKsipCYfT6kdIF/NvSMhPNnAzmzE
Bk2JuRx0rz6QK5GqG9eqmiNwO9/YRgouHmTARPpXNj7mExFqPfwDWvdBZMb6jrZOuxZWsSDG7Hbb
ChJzm6p+mXR9/mB0fnIwR1+uEUabH1VfVYQ/L6INbHxbE6Xyb4XogAJbtDEat47fuFHk52gI0x5t
VFSudWAxgKzCvty1EYLagmH9ihur0C26Z6WUfgCLRwU+ulub8hY/cxLVj5rjJxnzGb/L7ENZ5qJ4
9Maw0gU3QK4qb40sjuBI0qdQZbtZwAQSxCO8P1JkoONldqIZ2G0VoPBi7WeGqD9o8UiLv4BkTNCp
QirjbzV9OfzMpE9UGV0NPJKwSvTI5zDECo4K1celuUHUViug7mH+RBYVV0yFPZuCwsa7Gr0lyode
FUFO0AWJsPeNxTzKzMNawXerX5BKcWVdY+aiJqSsrXTmZesJmh7xXlHHpc9GluzEjs6D58/9albE
p4XONOHR0zmvki/GalQQ/XYJbwSI1L11RD9duQOxMQAsxdGzC5IPWyQGQcMT6q/gNfHXq8bhzVFx
UIhCmn4GvuGvM1VU11mZITvUneUPVbk49v3I+sxyFoZBbosiQg7Y8ztw8PhMqKaME0NBfmP20MZs
fbiZry3EBJxGucWfaGMjPREFzRKztKGPUbNkvoFCvQeLzKaeaKyolzWSM5x/DB02Ucxj7T6E6vDW
iOWrFEucXccYEtHN8m6LYaDMtxpb3lUcO02gmIm6ay5nkSxHM3hbFhnQgwghzzBzRUabk6EyJ+Nx
NMj0NE2abkNCuWHhpn5MQ5PtuZdIDi6BX8rkuzcKxYfikeSVsnjs3kCNyvt0+Sfk4Ah5opTTp56N
BPthodrguune6iXC6KK9STMkWCvQJur+clCAhI+25RL9YUrO9wyBuLRLwKg0/fTNtnKP7wJ4yFVF
9+KkxzzSbhXqpw6qbnXkNuLamcu7LSuyB5OuaveXVEA91TmEVxWATMfI6pdwyNnNaftACw7x0b+6
3YyKA/4Wfu6mQ6USjPwM+L9qQocBVBi16+WAMyxHlWxO+7evxc8lCESlYlGCOcpmcq1lDelmtTvY
NwhE/CNIFvs19oCm79h2eIO1ieoz8KFephukU+HHXAM6HZSXR8gIHYRhI0BXjkHsPD2BZmffnnA1
i45rVIc0SHr+VUQLhwssD2tbtZQqWUy3yFAGBwMEh1cuVxqtueVd8XGqa2vU3HvAUUoFjD55t+NA
73ya2HH75fZ0ytw46RFwP4QuSzREOnJctVEFDjf1FGnxvkDnyinNpYkaDDGu+80Sp3JkTsoNzMSZ
76w3fPGM0NJ7TDO/yTd9o5OfdYnzyuPceY2Lie+UaTif/7IIZLkl71VS8q3kWSKOriLWrRE8YbW7
vHwxIWpLl6cePSgdaKOqroHfkIDFLrVvQourmphAA3I2cr6HiSMo6qLwGTu7RBOHFqz1YX9m6N+K
jZnMZENGxKMd2xZrEiZ27kQbh1x3PSUsAY7BGX1jtDmLjx01UXcnZIjCza+WC5Q2NkuTWYXNvmgN
8Zz0syRcnnK028wuzvIAlQ9nIBOY1gMRic6rlaa02zR68iuRUobY0jceJ2sRk1om+eEB6zx5FyoR
9YsLfQRRmzFh8V4+ITsRZ+TOZQUCA5vsLgXvPGmkaRoWj2hEiZqwdNP6o6R9HBp+E8Mhl6VfTmkz
ikTgpEtMzWXbVDOjgHWNKR9n3+LGwIMojqXpawzKzWKNNo9KZvnWWgbhYp1ORj6v2+XtxC6fIgOw
8Fov+lIYx2Qe5Vkp72GnWOHas2aEkV1u+AxnI5ajhGiklXkJx4m71rECVNGMdsuM/ExQxoT3TqPX
7FXioLxyxJA797KdynZVTkvYl9bqzqstl5WFPy2e8aBTtuaDTYRmpVUbEi6m/FCMLj+dD7BvHrCZ
TtwiYcYXPS+bS8KsgrVPmqm2qyIyANGGjNFSkqOHnldxwT1x+QK+rkVL4T6mJuvCsrC2kceOc7l3
Q1ivtJv7GnC4l6iPLdvQ+XJ/2uYQ7lIaAbuxRF91A5qbWwQwIzeUk40HOCEARb7eEMVU+F9qUNrj
Ctlku9dA0G7ySzAsXorHy13hYvObg8wMCaAj4XNnLG4h5tl8CRmzgmrllvRmUU6UrERqzhB5NyZN
CLCVi9Bt+UDaVHD3Ja2Tr1qE691OcRBq19SeOE9sPgK3nPHowJCf1kYONQ6deMMOAx/W2kJNJj80
rVjtrcS4dTxzPlOpc1PruL6GFTgEIJNLiYdIBzFyFXp82X2oLdt3n/ItWd7EY7NsQFgzI0tNKCp6
FoUqasdw22g+ErfyktmXDj2PmdUsgtqoVvL+a+5pTamGCoDAv8i5cCAUQyRglHavrVO7hcXUchaa
H0bDT+S+H0YUpEaXIh29KFDJn+RdOH7P9xElFXe7boRz+9g7A4eQCCHjsz5h4C5ruXxeT0x39mB6
D4Mvi1vTcj6RhEyyoUi7vQN8G80kzw5y2vRLZJGg6ZlNGFguJfVqrCwe4GUmRYwqO5JKpnnV0/IU
y1TYfc5SdIHYd7mglTPNcqdBS9jq4PLHIGLgGcSjZLZY1+kNEGIDq1TlFFdU9nJfGnWpVnldlzdh
ZVVfhMw5L7imZDHkkImGtjN7fyNl1+uHZln8D2m4yNWxh3GmGuyKCiYv86tFA/5Y0mUjKSsPJ+0B
djCXpy1qfm2EwZdkObO8owMI+8KaWHBQnCKQHDnjYFCW9w0xEPdZRAIiXGvIm1iKri+Fckbo3TXW
ukXji8QTUlLL2wtnj2aTWXE+sMOJdyovm0kYs27PAK+zz9UlsiwTNVG/yx5uaGn4HPohd9ClMIz0
qKzBg6SAsNueNa2CnRhe009r915ckbMmIvtqqgU2OukIkNN992bOirBZJlxX1GBcV+Iq2D/bZTA8
FBGr1bxEhI+Epa0u6yaxJSyOgg1zo5qSZyJfzpuLl+ZY4K4p1mFN+2qSNiyRnKkdIR0c1RoeoZ5M
yV0SatlBq5ytGy0rM8YfdiBqu3hvOnHy2R5d1MZOPfDEXbTcSJLFUft6wmjIj9PYmYsMdPKV52GD
vaJgk/2+o74J/GFodwiCB+A4yAKoVXrnVc9wFZMuRcvOIYFhRZ+Hr8RLiZmGQmNSSRQuG4uLyugR
RZa7nhvPuqodMo7bOVqWg8uR2dGLLzi5JRGpZaEz0io8f+Oq3mT2NcSPcQstSMZM3mJbJU/1EGVr
bOGC1ZlqZ96yIQ7MilyYo3CHa+0O/EOFEG8Wpb+xWkvuzcjRPi3ovbdUDPgCOFV+YYLUPU/mRD42
5yrz2mCEdMRfXe1ymisfADi5GGjCMI8RtkGD3TQkgx8cSyYnsh1gWqZu8r6o++gBY9IoVwPS5zX6
AX2nfEedhFWHTzHA409Vo/ibnBJoDSflUkR3M2xmwJ56NBkrVGPM4RA/f4s0/0fn84sJDw6Zvxzw
/N82I07gtft+vPP1Z34X+oh3iE3cpfC3AaGJ74Q+wn4HmUG4Lm2ai7WYTs3vQh/3HY5jDJwMeUCU
0OD+14jHsvAWG3T1aFxxxCHY42+NePylV/xHu8iBicZ/YS95hoEkl4HSj+1B2PMmdjkOHE7u+yti
vEDEl/24m8NYHlCoo3vXKpjDFZ2vN46/3tGhG8gyZhjTfVUNOs73WnvFU6TfZI4tgB2H1qOLp44m
BuHW66izvVOcj929SsfkEeZ2vssgMaMqdY3fKg75RLN56QE11KZXXfORGXe6J4mNzE4oZrINuqGe
P+k154AkjFxohTIzHwAFZgdR5uV16Fn5brCI0JR9eVM5JqkbiMPXWkpuozF2uDaSgg28YEFam1qE
VLRBxRKEubxF+Joj5vfFUXXRSC3jSvMMhVmcSMvQbwyV6DfKIiuTeslqtsAc8h1a0eiDgT/nhGT/
zpDucBOyAc06zhvDBWjPIUloyFFq6wt+ysXCp5CsGEQxsSe1/R3iU5vmMDs1amhJRbwEFDu5Xr9N
Ey/CIkN6TEINVQ5V9tTYKaYNmdvpri5kuhd4GNeTPRW025SBd8Yc0FAm4W0/xNO5Jzb2E1Bu9aFs
B+scZeQ+WSptT66VyjNjFNZV00y2TegM17p0m48FE5Q1CSreth7zcecZGR8jkhLLcJnvx/LiYLWH
N01Yy4GLQBdRX5tlhB8RIsiQEDqQ6RXx006ImLcuMDRqVzkNpzX7P/KTsW12TTM6XyKRVkGX9sl1
79rTjtlGyMwpLu6Ai87mViA7PUCjDLWNBYvqukYY+RxRL7x4jYv8OHHrQ1gjw6jHqXkUoZ2gr3T1
G5QMhHag2Ujeh73dHVPyTR/syq53BR51EUzEAewdmXuU7bllnWflJTdRZM9bkPPYJBClAEGiLoQn
1pPmnqCRPbqwg+8Ep+MDSCI3XKWznX8aEDefQtfN90oO1rULtXNX1G7yMvhe8qGpOZWU9K3OBSER
e0l9ccK1YV2bk1Pt26GKbskd7h7T2aIzVXT5VaENV8zhpjAQpeNjmq9Npo+Ge9NENj4P2HD7lJ5C
ERRZl4PmiZ3bvJ6uzXiyuR3piGh6vwHB0r/CTdVVoGRmbMw69F4ba/rsNBy8IlXTNSRpgy5CaG+B
mvlr5ZXms2Vnn9Rk1dFKi2zzxfPLxwrV93PX1Wo366V+rmLXJYeESvjgaMBvAw4S+ikeAXitJs1t
XvGopDQys4bay7LEpyT041058kPRnORP2HeJoUY2S+c8K67TiIs4ceCmF5Xjo7Pz4sGzuv6j5SNM
C/rMeGSMfoXJyj1UU7ODQwzN3EUYHSR5mp2BWub3TpjvXTX1Bzecyys7K6p1Vw9ZMLBYAjcQyZWH
KWuLELpZex36I7qG6T17sf15lg3G0gwG0RyrbGGJZx88XZNPHqiqc20WlB19DUWmjTNz3bhGfYfi
F7Ok21w3SLzSlRBbp0+LXdhN+g1zBRKr8/MYhuMHbUFpZq7FQFCPLA62vt6tcur/Eynd7SeEurwT
gnEmXXq7ijpzM+YMLHH4WP6H3iMmJqh1Zi7BBHQAWrqKbueuynaa7PH3KeVgbh6li3ERsGEQhWoz
lDMMm7kaBn8txPgUzQqdZs6BE0VK1LDMgZAKRN3q11Hd1DeqDPWNYWgfUjOjVosi3M1omdHKuGTv
CMLkVrmWvEfIpF/leqdvyNZqAhOR/8fcjQnTqGJxdgrfveo6RxbBMhE4J72WrT2vXEEt715d+gm7
FLn3nd65BUmHhaWfRr/SV35YzGRA+Lm7gQ1P3cOucZrtOH6PWC85FvP4GxxSd8+OONNM7cZTF9kU
L0B/jl3qlqteaYym6Lrf9WnY3KT61DxrYZKfuqyoN7hjib0XVbSeYRxsnK6x3sPaM/cueIxNG/rV
Npap+Xn2ooE2lahfbatZNpdhtj/AD0qeyBUZ8wDhFhlwqYh2A85q0ksiLGFGGN8ZDHCCSdjgIKJG
PqB174Iydua1Un296ejXXftoXVMm3FWMTD6duNGMaSU0ML9cWdTyFInDDgFFf0WqTv2UU1AnjBc3
BKDMdxl+3k09kpcUqF6fU7D5WPGdSG7dphpPxhiZBwEZ77epMbP1hOqSHCK224RH/LqDLbNHRUym
S9a04iVz3WRdlJP+IQ+RnrIykZLYm2uF5+ZuHlLtU217ZJT3vrYleaq7JWw0v3JsLdwiVuzOuZr8
JyjP4dbQG/0hHhP09TR7tZVSmru1Yq89tar5WHaz+qTPA8s/fLeZzCZpkxZuTcYaP5sVmJ12zTHV
xFJC+jrAEeIMSHZZMuB0gqrxxpwRBS+xrGkaPQ4OBxG6Mw0jK6ws/bmJmnxfUQkhf6i9DIZOR9sE
DZfffBFtnV2NeQzVQk7aMTGLjfLL4m7E0bynBH5xWgelKOUKvES0lx+z3n0hJe1VD4cvRMC8+DSb
S2NGqDVPgBKtprhqS09tSOJ5NJuoPsAz8B7HOjOpb6fyEypf+R7c/os/EhHNrZ6ovs0ONXZPfTjU
TdeM/S538TC4Nxy1ysgNMB7rpKUTJ2ZvFmbqUZqOtx4mOfh3jK4V+Xxu+GVIlIUhZpy4cCjHTPS5
6KFxsei7QXHq2RVxXd0kJL1VLzULKGevJX9Lhtm2IWurODDXaNcLtnPNIS+7ZjhXHoY28V4c3P2/
UT9F6V3IGOTaix2jfaSXGYdMMfDClCvZTZR02Auc9M2HY6I9OcRsOAhyx7BEopxk9Ie9xFqXmq52
RCaU29Ht3iM0nIJWRjleGa5kH9nvpWZOe5f+wEoV/XDiT8qtyD2Ok9TsSWsfB2EizdUpJoMsYpfR
PETfnEWeyjnONzGQrAM7iPYQa0l0REVqrKLSUKcRPeSp5Woe5h5RcJxMr3Ym1KEVroYhSht2RilV
AN6f45Y1m0MgHKu9TpIroEoEKKg1Ie/93s9JwiROmNAVpPOEu9nnYmY4mWKIuJptMoqozMJDW5jJ
odejo2vkORZYoz4ice3XKvKa3wbLJeQFy/ouacZkSxib2IBCCDdtklebKbRrQGMxcWY9fsmVw2Xe
D3ptMvMwi51DKfuFTjPH6JoUU5kE9C6NN9cvXf99pw+QrD5hWoIm8hQ29gJBxFibFPlXodE/Rdwv
ijg0XagN/rNZA85G1b6+Vd8XcV9/5neJng7QyeYgwu0D8AU53h8SPR01HlUTXgGEIjzDf7g1bINK
jWYaFoCLiM78rohD8icMLI0ulR+Tel38nSLuonL6robT4an7HpwUj2kjJdbPIDedVYIISegCPjAS
gkyBUvlq+NCOwi7bQ6oT39wEGcVknO44FqH1Plr4t6dNRAaz4/UBo3S7jg6wI/zMuik109Jdhic9
vuMURiwi1243ZGkvw11GLGaSHMkzHVleZ34X7GyIaVjYT7rD0XyOgmjA+hUfjbFwaN8Gk+9pDDs1
tlMCE8viADyRyV1mTQi0ArS1o/5ili1M9colQ1Y9pM28AMN9G1DgmaVpiMVtkvSbqReYiIPCB+S9
gm9A9zUf2pmRMMyjMCMCrMIB9c9T8/n/R9zKtNXEJPOfH5u7z2XZqXx8/Qmg9u0Hvz07Hl0OVncS
HrhFl3bFH8+Or78jnZtkDpMYXx4tg97E7xpX8x2/5foIXVGfwd1GgvdN42qJdx42XZczDUJXRNJ/
K64etuCPDRAbfwDlCc8gbRicvz/rZfLCYh5a62rveOQorQejSgycOBMegMWBvhFmalhMyZO22E5k
BQmONm17ZfsQbbdgqCZgp7mu4RPt+txZxwy12ZwyGCKt+MRYILydXFddF8rQ13Yy0NqfC98xgkLr
SFE1lL2e3dyswV12hrbxCKHpA5g7hrlpU4BHTCSq57ZTLebEJj6Bntc3njbPT6GpWeikEM1uWkHE
KsGeRfMQZS22V70RVLJEhXivsEs4QWdGFae0Ji0s+notsjUPaLge4nKfeHPyWTOM6NOE1vQGNI/3
wVFVOqyFJmwmuvn/Y+9MluNGsm37L3eONDSObnAnASA6MoKtJEoTmESJ6PseX/+Wh1L5KGZeqXJe
ZmUqU5XICAAOb85Ze2/Ydc1mldqgdkKpSCqmTtrqZN66TpRfjYab3hCy2J/GqVN2WpiuXqiG5OVV
/TgHtOaybQooOqLCzSJvJvt0o7QW+0UcXSjS1ihQxtw03jkttxlr3oyPADY5llY0kGdE6pXOnizQ
Xe68SIR2nFa3uO0Vw8LUcy3uODhVt+ngtJgTOUKnmZ2VR3o6tUfmRehlU2xvsZtUe691ilOJs5Ea
LLY1kbyYYczqlab6AWez/nqoxFOHU8GD1nWls3OQOuccpNKoxv7EyXayoPJ+zjN9m+JwzMmfar03
rmF4ItYr8RdDzbyiKtcTeWbdvW1VThpYVmgeDTzfXzB7KwNRaPf2eFu4OfWSSTQ7Eal0ZgZ6Xl2l
GxSUuuGjhkTiXVsY8w2VMNNzCyvAJIXYvCLD0jTui51RzvnRzdvw2iVK+c5UcVdA9/IhIRbUJ7Yt
wwFhWLZlEyF4YGsdoBwq9hPncbXSei/L0vQ+HBr1Brzb9sNZTIfIqnZZajhBIabJiwe18sO1Ktip
sIXap25obgeryF7caXrWQlfZVkKQ9Bj3uXbPII823YzTP76gnA1z1wioYE5+ZujCJ5v5rmK0eZrt
XlVqGDN/N5avxN3TWiBUWWeEOrFuaRtzcfiWHfBYNEThRiNT+piTefSEiRkeHXnc3Ju0i04LBM8R
//zGT+niBq02440h2vhsjA3jhmE7ca5d9F2NwQ+S7BgtuypYHwAVTCyAaPhQQ5CnuYTN1s4SxRJp
7xzqgcm2czWqIhuTJASkEukUR7FzP5FVbYGdKYisHnQ9M6cHswMv5JDWZLH2no5jlAYq7ckrbMrt
u97BROrDLNaCYAAALFo1LvvpTc7Bgc8fkzPrM87YRo2aJceKf/RkeHEbELyHbf/sGmV6mCrp2JdX
a8rVQBgKqChCjscHHGDE9NBnyWDWnOSV1DhnBnTixyzr27X01zErkaXHJt7cS82Z2h87fWZmG5Io
+ojvd5R7aawlPB+lKhieU7WgUF5wksZ1IJm5fJJikBPlaek4QGgGPjn7pXfERyni65/JXdQyTlSQ
M8PICgx7h+u0gYdzGWY96vbSCrMDzUpTIWBdxR3rscwGi8C6xsCsRe9bPeTF0ubgsvz8d3/7u/0t
C+uvFmriYctvz33yPPQ/bXEvP/Zjmdb+wIwUP2I64N8FJ39tcW3jD5uNLeSn7SAXgH18vUwzylnU
LXoU35sRP5Zpof5BiwJNC04fNlFi/1KQLGQf4tUel2WaEyB6ZKS0NnSw/gZjNrEZcDlIj8jzI41Y
+IRzI5l9ntn3T4uVfXF4AzZ1tfY03mfXQwDVbeZ5ybAPympP7Z1HZ3ToZ+akzc5Dfj06oiMXxaLs
2hq0zxiqdooz3zKImapBuW6FUag+1QCYDqdxt7Wr0FiwBvKRXP2uZtPqqzEH5VQ4WaA19ryJUIRt
OBSOODSUfCb1Ez/NuqcxdylwJNWmqSsytMz0i4U7gJ8X/PNM47xfjXZ7qMf2CScR8ExzNDbpaipB
EdrvWTvuU0P7MrZ8vGXWT3mFqW3UI5WsbFzULLQPZCOTosf1WPXcB2rbPFlaCq4jhaqTwuUBD+rU
nEvVHxX70LbOISqJvws7bg394iDqCzJD0uyFaJ55Y1ncSkISwXcbfmk+cgsEQk4ugdugOoci6Tof
n7WUxZbvMNaCWmaoY9VGLOYefqHeVjkFAqux+H8zcYePQh/In0wFwrvEHZBD6rJQvHAL6tzoA7PX
1ruoyu9cdpxB3vGR+LWZV6Zo+PqToQdDwxcyaivDhCV6l3VsHkJIFJ9qw8uCRcWeAHTdM8OFElm2
4JuH0/JzmCsa98F9dMHLAqPMyXBWU3ZsYFlb0TsOobcjbZnU7R5pz2coqqn2k+G0butVXfeTw90z
sF3yJ9PG6UV5vAySpKETv4im80Fd8ENcDDRSDvGvqvuI99GIHxx/FKp5NyZ8qSilZ08lnJNZiolM
FRXz0XZxOhmxaPLJGhs91bXPSadlhBd3emCPWOhboYVpoM7AGnJc8wrTPDOeX4itpLqm89XzKfmC
ip9nv/K3NGQCHjWl9AHJOiSKFT8jt1idRtFft+v1pDad67Vd+3R53kXkYKxO2RfgheslTdvd2C79
46rhZAcwmh9VLXrhJWdUc27DdYzR6dgMlUq+C1HTL+/ymL8SSvrFYI+44c2jWFhnyXngdtnCflzw
6QumhvfExmvjOKFZPMWU3D3X7p7sjF9o2TxhZ2AwObyNl5tR1rwUk8I/rbPiS4EePoAFaI45HGbA
Qk70aNaFx4VmyX3RpbWn11O6mTAT8AxScbfkiLN7ZiPkF63glqoj3yGKO3BzZd7RQiT5ugkT1Jkr
bjM2LyWtkOtkSktqSRWjDFUmrntldnJ0XlRDZSJwRipV1NzyQOU9Qd2d3I2xeb68XgYJ5HtVG/QA
ERvBzRVC0ArAaIMPfudD3WbHKFbL3UyNLiBvmNcww5z28mzxxpc8fXltjaGcQhgCZd24ngH0611G
ORztCrPUujvK4lmAb5+7JZkn9yeF4XwZAHKE84rfJWItd8bCNOaOvN9iddf95TH3wyTT4BlG9E77
YEy18HOdmMrejLlUki4pgw6askf7wOxlJl8oTPIItOyF/g7xOgZvDwKHxGMzgDSg1GDd26G8xhNy
PpuzuXOm9AsJ6BQN7Km8DjM9CygA4m++qso+MnlPq9XUrvEYcre2xSArC6O8VjqXT4fcZu4taLQz
OWBqiOeX2Llx3lExnPll2jR62FFYEm8wfPw4QZc5gx0mCxrSLoF45qRQMRcwjUDJIybFSGNym3h0
l4zocNDvYrylCFMtl13dM5kQqcuBpOGyw5GvMA0abxEZ3HtqC/xh58b3uUl3Zz24vLRYagKjR8oj
vzu+NVuGRGuKO32Rjg2hAg9I/4llZ2IwNXO97aiHelmVqz7OniWuv2I+DzYbaJA5gDjegMu95lyc
+VnBrxw0nqsoMS4Vc9/5igNMmMsGgp0r4a1OudonnjLfOWHz0tj8z8WQBrz07AET5hOh5MlWa9tn
h3wpghowcK0a+31RYZ6UKfGtMg1nWwbpGLgkHJcEZInoKEhGVOps/3RC81QSqxR2vWu+fsrgFccN
AjhhBWgDOgX+p02/6Gk1+zQuXFwOVP3RjLLcJ+INugu/0OFIcjKP0FBxBt2EkSaGAMkRYfJV0t/G
kSA+ckNxlVZz281jCpTcy40n2DuwYlxrntU0yrEOh88K6oGv+HU8i0StsIUy5uzFaQxlxWyWw2/n
Mf1P+75sqy2egrNbb1oyPrw6bXnnUzEqfsRS5OuaE57cCWx1mxsE6J4x1nLsAx6QXbHvl7VXnpZI
jJx3ojG/DmPXIFa3zTXLa5asSc7maOlLEKHSVu5LzoDH2LYeX23Fbr/vYF6LbKV+7s2+RhAWZ2Dn
ouJD/laImbuKvgpcQfYwl1TZ1/glyVhcMIx6HNrKYFjx1omEkf7rz/1Zb8WmDbWVJehE0i4ig1J9
s5/CiVonwLwe9tp0mex4B40k+1pOKCXmOnv59af9rLX689NscBddICbEv+ZnymSFqhYJupN9vjBA
5E7AzWj0RzSWv1/Xfw8BvzkE6IjYqJ/93+W6E5sy+Z+6Tl6fAv78uR+4kvMHTnyogikkI7KkBPjX
McDVIJmQEL6WohuvStrqH5wNbJl3ICjo2fh5v5Ga/0p6/vatwBZCdwkbk47ylLdtvsZr0eLAfj3u
af8cGozKTmrRLjscLDlCixx6xlejuH2eh7F5rrU2/I31OOkJb95J0ugoz6OwtThzkPHw5tMTyuUm
jH92KNJqPYE4rFtF78BLKRQ6vtnH6r5vTC3a6DjnUh1jspBEhl5eM9su71ZqKw0scMcmFMeFlka8
tlQtxi/ISlDv0DRfJNteZ+2KsDylEX0VJtCJQdnVemAg9Tq5dgS14l7cozHwzOiFleM3O0Xv7DVJ
AqfIitZx+DCs+0ZZAATScGYVniA+5X6hNuJlZ48iPFam9AyyCF665muaZKpPZf3ZcDnhOCqVwHKA
k0cskWrk5wmlrHlHLx4dEMWDcnQu5h2LwlP6OkZGZG0n11b09+oYRklQDBHWs+hhFPNjrOI9TMFo
chH2VQRW0wWeSP6Zbom3x0TEjpwpOq+uEjvbKlu06B73a2ur5lmB/0iCzMvZ6t3Ys2rHqmEeNCH/
ZaRhk/w0U6srd7AK1ga6maqRdbE6CS+2JxqZxIbjUZPQIqiHwmKzaG0IF/9SSJRilFBFdeErgE9h
LbSocZ7WYe6VoJQwxlQ29m7AMKPnb/JA0D6baTOebQcpDYavIB25hDtW2rn+JIGPlnOKBEAKtgEn
hG+sypyMLpTIKIGRtpi2jWgQIkqYxLxwJb2s8imLG96N1jK/yySAokoUBVel2DPMofL6JDO/KRJZ
AYidN4074xRLGXYbl1py6CXkklJF3UxxXBFK0ZYHfGwwZYSK0SUeg9gluxuh4Nhtw7mhMWioHwPU
dJA1s7s82rgwtxvFdbsvZqWF90UW2z6IOA1TieeoE46Ktpp3QVdjTx9LjKeSQE+DQm6HvsJ9ti68
D/7x6S0qm+Yziip4oBlPvbOLhX286ZE+H8sLO4QBpIp0GqBoapr1vaHnj6kC42Sh/4gQTWTPCWW/
95aEksRkiG2Yh7DNmdx4SHiphWIKw875vEqwyaVYtuAXDO7UrlTOV7BnTaJQGUzUeIGjJCZljKtR
bKwohLmSGFUlgaqwsrWPKIyds2aX8Fb61B+go/MDSRKuB0nePXYS0DIkqpWRl3Y1SXwrlyBXIZGu
WsJdw1inT+QVpx95ovlulhDYUK35fijL+pxJRKy+0GKhBMeS1lhvcRcarwuJlaFXgDALa2CzJe3p
7SqKwbQCAXxylta4c4HZOMPwSuxz8r6VTe0kiSyCGzeDM3TXowTc5gvrht5A5WQ0Jqc+zprHIRum
h0TicUZGrrIyg8xVEp5rR6u/6k0Oa8E8QFiqF84OHW5xa0r4rl7nadevauSrqetsWwnpmRLXQ1a8
fACZAeFzlUMpob4eug8WviRmFsUsiX1oh2AAdVjAxVQXuZnd1KipvmJzpW8MiQ6qEiIszRqcUOvG
HUY5FOJjdfZXiR3WFwCxmRIQ8IXKRimmu7Qym3MskUU2RMZdKDHGQQKNZqiNd9yQ8Gau6oFwTsBH
nNGQa0oYspJY5HQBJC+sZCGxyVoClDx23hZlwoXezuqvhmL1u9UpYC7nELvt2ZoFij6QTPtCZxIm
YXkpSQ/4Ipv6CziRBAsk0rlIuNOF8sQ9ajzFYXFL0ds96xIF5SiOON508aW+kKKqhEaBidST22fu
mRqrfodimZqHhqb+uqpgSF3Y0/xCoWoSSEW+SBsIMWXhhVM/H5JMi451lULPOmz/uBnlacBMFNk3
U42EXhXKSEe9EdqDBd2nU+BSQq9rLBJ7L8zsdOFnB4nSdhKqzSw7mDm5HllL3AArOv1TKiHcXOK4
jUiSR61Nu/vI7u2zLnk1ZWiAtvCpat51ABbn2bTX0yhR31pCvyyf032O9OQC2tjXpcSDlwspnElo
uCzN6ahExQgup43nsW+No47D99ZJmub9ZJrd7WxiGLuIcd0ZyRxDAw31R8sdqi8O0V4vOJDhcYXU
jEKOG32dcNIicHR1N2Ffb6fKwVFt7kyfvl7vKZX003KVTqFEwxFso3a0LevC0XLyKyaDALxVSY95
LJr3IbrzgBg4/JXMIgk90+I4XwqtofQ/Nh+cqLSsgLZA8cWIIgfv0zk8DVroXI0OiXL5vLaH2HX2
7pDpqNl01jdOaX1+7oXq3qRO0WFJuoBlOl11RMLVn8IeIV4qMmoFuY0r7FgOHwicQkFXuyMHGaGg
a+6Mabiro865XhV3+aYaQw7MMiQs1y73+CqfeuUxjk3rY5NUTD1U7snc61BXyUm7hjeiD4Uazqlu
7Kw0zolKUu5QjogInHzRZHHI2dl4umLo0k2J4SFUbLxCiyuPMqLzOVPXeqsmxmcxdNVJiUrzwYmi
bqOps3Et2+5Mg4t+uzSr6kVhCUZndscmN7Td2qNsXsrER/WnnwanT2E4Obe0cVndVpFuvLOdfsS6
Tcm3TVOZO8VKyxqFPf19i8URLSSH3cqoD8j2ujvbjMRzH5OJsdH6Gj+saXQfNDOt6WZ1+CTGLXKj
MI0FOHctbrOwoaGko+K7y6PS3pFcU3mTalw7YTvx2AuhnkjYPfXCIq0DPX+gJUrzLR6wS8era3L3
xBvbe+wRKAzmHfBZuHS39ZrXtziVNfs01vX9bJglVVlyKiZ6j+su1Fr7A3sB/XGm+Un0G4jHiwPN
+7GoHHNLferJbHI7UFL3zkC4RrB5pfbsOyan2+tMedEm7dP4ONWtghOf3lGxEFYbsmg363NStwXx
XEk4HXXIbBOV0dVCbApDU3TbIsWUH8Qo22oJi/WA0x7Zkk5rp77RrFCqGLIMZxIsGr9r2vel2hY3
4zQKyg2rKnasd1BcgszfvFeWrZJo9l6vcueGcKeZVcFOPrJBszpPSalhNUu4H+o09KI4c/WNrbVY
B5p5pHmM7Px2qmoylltEpYRZcEwPyhELyUzJpnurxaxhwgzyYKlLedNnzcR7Ylgtg8O1v7LxjQNB
JhURo0wrjq2zmZ7ZqaL609XpYcT78Z1K9eSd4MC+hUtcBaXdprmps969WoEciyAywwM+BkOxgVIx
oNArVjDSMMJDMozt6s+RkR7THvUseRlaQohq5FLbafSo+2YUqd1h5Zv1C44IKMcRmo9UYubeaY8m
nUasdTrjJES7nN2m1XwESZHXg38e43JaA4pA0dNqOVepsB4ji17aoCfnMqGvD2x2LDJb+5TYdKPb
BZasCS2XLVlhPVHt1w+LQl1+nGLDl/5aQW2sn9t4+ZLYyh2p17hP4D7gYyaDoXeDI2TV4yesGkQy
U5SB2qv1qyTX0IOmlMFdHT3q4gjP7dzBN3I2NxSCbkbMm06dKT5qnUCeNvbUUDJqNVnmtJC5OTem
mMiLKRaafQYdv8oWJUXKhlYlqTu4MZC7kIw3hLTCircl8bQQpvSPrZJwXlvXqRnONPozrBnXaiFQ
WBQ720FEtiap8XFRdFjgBKuOgrIbzWNsra1YNmCpqZYMv880ngOcr8PHAjHxvlbC5WjqnXqSPK4/
RpPwVqdlmcNfDfWg7WyXrl+9GoU7qqyBkJSqj86lkrOyI0G8MVUuLnVyfJvpj1sN3tSeVVORfnVi
/g+KNbAbOvF9MCcGPAvnw5+PpXEoSK4ZnOSQFsjwNyQEgQ2uDrO0OWTWg1BLTqTspUqWbLrwv/7w
tzUU+eEW4gx8mCSG9tZ1ak3K1lrWOjloc9U+r6SlXxPUHN9g+JLd//qjxN8OwJxnMJ7V5OkX56M3
10kmT2rNaOwPGnkgZcA7suSbcomqb7/+HEn4/FT94pooUIOsYTWMD7Il6wCvzImyallEm9HdH7AL
28ZOK60qKLnmJRXDps2wJBpxRcK/QBSfsXqQcUhrFN8ohDRxuA5jvt3lK/23fvSb+pGG6d4vpW5X
fxe6ff+RP0tHyNkwMCTBHUMyzAl1jTbxDx9DyU+aQqfASftWFpH+fweZSuAPsEtCkYwCSpIGxoMU
J/9NBQkr7Z/Hlupig6jagLSWaSAes97UHJuwd5giZ+uq0GtH8yRRNvmWNi1T4w2dUstUBJ1azbTB
mgPT/6pcNKKzTZVGnb/2VKce8qpRleLYdZbRzoGyzq0AqQ8HCsSDMdKHsMkm4ugXC+i3LYJ36Jlz
r2ZJPLM3tJnFBNxPH237jm7v9UjH8DmLUGkRPAkQoyvE6MWWzRHIdZdt10R+jcj3QXHWlaQ4gOda
6pdJQNpAMKXrTtdadKXlrOWml2LKAQ+EDq7b540zNLcpDORD24Tuxy5fDVbmrhk0r6VPW18xbxN2
hanQE+CUqPiIxVqD2c116eNnq6RBLCSyGFXi3OBMwj6Tfp2vuNX0KSF3+XY1MYJim03dv43Jc09H
fWbWN2I6H32l1LtsLfJDOuTxJ6szmye9M/SK1PfEfa5c5zmfl7ODNpXc+KxYDvwRnkYcXW+ASdU9
ZKsWEF+DLopeG//GcJu7IS3J5FGXRfX7KRop/dWodOmrYTGVixA+ddLMcY/7XkHvZOjeM2EhKMM6
dbdyQLxzO305kkXQtJhO6LOChlhJ9pRIkq+MB/MuzcbRCKjaKTdxAe81mxYOKtWsXU84ED3Gq51w
VhzYxK7C9sY5Yq8siKc4CXPUPyhV3gnKFLpxUwlYP7fOK68gGfWAOd56lffmMvrJQAdE08shwFCI
sCslnLfGZKx7zqozMYpgs5+Upag5FOXKDgXEehCxjtax0O1DTN/2AVFheB6UprquFKhaUheU5WYe
VmvUtO08il7HyOjHf/eZLsb4pJh6XQ/0Zy7YbwOYKyFgkjmn8lggXsor3/7OCeutcu8oGqIftiM5
coAAokFTn/87o/4nAC37g19OqP63/PP0uWXJ/M7jHr7+7/98/5kfTA52/yyNhupApuL2L8GbP2dU
2wTXsaFrZPCwyqbkrwkVPJZ9CbwO5XOgnQtU+2OCJVlAIPNVsZrVHWns/68mWJdZ++fFG/CdKrlQ
sbqRyuY3E2yWQinAgDX7hWrsU5/2Ze1bNSfZzYzzsDfbbdFv62a5zSt9nbw8BnNQSR9Bi0Yc/JiU
UCDGqj2FyUDQYonPmEe41fRt7i1F9ttTlGNIYbHvuC0dRSFTLf8kFByxDKxntmXkYvthqFGA4TSz
ATcx2YdQEg9pTwt6Rjt3zlMT4YgzQHLYRI4IL0yL9mhp7M2Gina7YiPI57TZbCCN26u5oZZtFThe
KLOZ7nhTsZIyWqs+AMmGB+i7/h7JvTgy6X5K7UZ5SvBsfYyYLzeCTsUOnUtE+CHwSo1X/M0607aj
2nQ3OtFXU8m4yJAr1fArpfuWbV2X3KoF4xNC9Mp+p0bZS02Zj/qF25PipwIzmTW1fr2h5tGsfDrT
yJ1lzOomsftTX9GaH3Ta/prziOP4CTAT4G4uH6DwteuZtiySwHJEejfJP4rraimuMd97CoueHbzW
z/hxR59AXrBQIrtYymOzJfvUmNAYePk9zKmy4g0BsEA/IaaWUA/bgSw4L0lQ/dkuB+AwCG0iQLPQ
kl+h2Vgmv9ptZmNnr7Z6Y2SKQlxrhhF15+bvK/Cq99psQClIFgdA1dhaiNeQ3rIcx1g3dGt9S1DU
ug+FcuzF0nyuBMql2iUuCYscHD2MOg8mwIxbUpT3obMSh2f2zc0yxu2TyJxHq0uqXTXjI0S9DTVP
mNkBhh3a3m0sJ2hz5x1rttIgWp3eRSJE9lAgawcakNEHbjg8Kyqp957dqMZdr+fGuUhIXUV3F1Oo
qeJmDfK4fDAkv8jJqI19yh33Xd67284JSVQwYnKIeHM2aTImfpyT3DYWc+Pu2sZAuBbVmkbLfqk2
qWayeDqjVZ11bR6uYDn7YTu1ivnOFlNyJQpL/SS4cL8jsMErklRPfJN7WW016OQWwfuiXk1Yt/WH
CuXlxjTTfnlRSnNVwJerKnxZXHs65XpLHFNUAo/k6LnaDS14DoGp9vDfif4/meilgQIHm/+79bpF
X5R8/fx6ov/zZ360XdU/+BUqFsaQlFJE9EokYf8Bj2nJhqSOTuhiBfHDJQKBkcoRDdNo1VB1Gvp/
7aUxDjfZRYNkqlhaS3XFv5nq/9aNxRRbsN9Fq0RdTr2c4l6d0iKi9VaHsi8k/oA4DZkxhWoqM+61
GGQX0jY5i2Itn5Q+tYvfkQram3WGvjZ2F5x4TdBsZN7izTpD1VCsyWh3O4GKH5jMzbfkqvZbMfWJ
AwC1igM6QDdo1epbXk32fdan0y4y1fFUrCupAVkV/qYQIJUwr9e+79/JRp+NUs/lxrw5IUdCUTiD
Gt2ujIbyoLZm4KqcJFYsBM4hmnQvtiln5wSLejn92ZuhTsi1gJnxqQ6wASvzbznc+jnDL3Ndp08I
c3Uau339sJRDsqn7xNybUTwdyyU/o/MvvFcD8B8qGf98AVTpkb6wUWCf8PPJmxqmWyzOxE2Nl/uo
JTFtmET0DjPX3KsbyonU7VV2tFa/Z8ddHImp/ezgdte1litP66E3O+1I9lTl3lWrXT06hMasZlge
8Vxzt1MdLXCYqeIbaZ9v26Spf3MFmnzsr8iZ74/g1RXI2sKrUTn1OV+4WtgEoNE4SoOeY08FEVEA
J4akVTcGzDmhz+rBqFiyZEvzN6PA+MdRAM3CRsjRkTjJOsqrr4DJlZjIH+92CBEo8A6kv3xhn3Rr
iw5pmqt+rfJx/kB1M37uWg8br8hLwfoRRmAlPEbdVlfJkGgtglCnRJtIztMHHFD5QI4jYKoijbRv
S6lpuza0H2zoQVNNyRVR3A+1gw++NprqtWJq+X6tqs+gqHSD+KBIYEBbE3Nt/uaevzlSy1tuMeWw
iySgUUUJ+fP1squ0M2z8ul2T5h/KEMAgzX1lxRwCus/4Xon5KY7gNRnFHvbt86XcZTK9EQjp2Oqb
2lCXZxxaEffv6qh8cRMHSzKNfYkgwfk3n/Rmfvt+WSDqeFMJMCz7zctMgNJQ26HJSGqjx0wzog9p
Lj1Y8WqzUKVkuISoluIcQ4ua7K/fw58N7M3vHy2oPVBVZAF4K90k1I/AOjCD3WAvH6lY3M52c49Y
5SW3+y/Mq9ZviohvK27fP9BEeqrpzOocBH5+hO6odHOSMGSZ68v7wWjP+hIa/lKyO6d3/o3s3scq
yWc/WmonGAQM59hFLWYz628u/R8HE9JZysUIPv9G9CdDP5rxyPs7YejrqzXMBnbI8QYHwMgz4/Tl
13f6TU3z+4VLaYOL9ogUtTcP2aLfLxMJechLCwRca6G3Dk78G8/4f7y/+NMLRhK3l0rxz/c37bSI
KIm62xkmpXZnnGN/LFMXmhtbnKkjtzKi/+IrC56hE3Z2XoqXQzCPytW6ojH69TW/jSC7XDS1Ly5X
FqzF26dNJBE7ZppA+COK+Etts7eEk476my7RzGIzWZVledXAL6AbBtS9Ga0GESOqX0KMCgyCMzjs
ZTqNsQHSqfc9BSUz+m2gwj+86jLNhJOs3GL87QWsAb772kEPh3lTe4cnl7WtFszf0lbGzf618fqH
dY8j898mFRl3IQiLsKmjvxn+E3I4pP8ZjwfQKIgjm/jgdj0t4xJ5UaEptBiKchfbvQ66Nai/mWj+
4TrB5SlzM8nQUbt49b9aLyiWJYtZWs3OmsN2OwhirEWHUW8fmsm//yjkPMLmbrKrxHL753GYYPRa
N63dAHiExYswFvtuLeMC+gfbvq+/vqn/MInx+BzUlaZuI6d9M+YpokZpNfD4Eo7jPtWz+oHUS/Kz
1I7MyrkQmHHEy2+mj3+4l1SLLVdAlWoo/t68z1Gklr0bm81u0aXWwqT3lKSF7rcqQpRfXx9a5L8P
G3YaKoVIRPZIGd4MGycT1RCtGg9OtIQoWDi/tF4Si2n1MRwq6TS3ne5bE8yC1xjjpGybvh3mAHGj
UWAIZTKUEiNa3UOIpPq9jtVW7Ldl5gw+Ud0WNhphE3/GIUU5ZbR/OtQYOWRhB/dF0YBLMlD6EOHq
u6M5advJUI3lypQJWAnh7WtQIX9MafHF2qM16Ct2+WI2EapqxWwFGHbF+pM7kcP3zUp1QeekplYf
X81xi6dtm2Rt/K7LK2055CXudrs40QoRKGqtHYt1npVdhxV0dzYLeoMn0Q9LeGd1Wl7KXqEyEfXe
dhkqFeFmpV9mo4jo6JbS7sQ0qnSLADV/GBWqDMe2VKq91mYYaS5Rq7e0OpP3BdV1jOqhsNID3iIR
GpOhwgl0yUgxCIp6KdvrdIRJghJy6ynfdd0Et0gk+zL71biE6hVa6lC90RwcP/26MOXmKkGL/tnG
owpzgLCfaSdCWT/UdPGxYOq7dLmdQnt8KBPR9sGiNK59r1YF8bWErEXDgU3svG2c2U1g8iOCC5B4
rqvXdamLEJglKsjDsutRKOi0kZvOdN6lcUN7Ni8qnGEFPlmbtK5NBAXDndYm22E06w8hyQZPueKo
932JEjssyM9RZLae0bg3Qy4lu912Rh9zH9ruBqiN0JAVh1xYOdSablZso2E8GoQTIXnpPqeZhQR1
QE05pLOxxWAc33BlCkay7vkOrb2z8KoKXJFYO+GuFYoh2ss48kZXHYYlX+we51gB+rkp7fHz2ljk
rhnzuhnnZWMm+XtVtZAOW82t6RZtoJHOdotpw+rh4KNdOUUen4yJ58FpAUN4nKjn1TB3pqLdJQnS
VQi68BASVuDNaTawqaDIkrNG+V1nr3c4jh6ansTrZF1M/shuMq1BdCPaYzbPur+qWRPMPV3WNA5H
Dz+5AiPW2Kem4twi9L4vlBgGbXLiLcoEfKOonfihjup3Zet6H0Z5/QlhCd2S2Ear1SM5ntW+fbGU
htA0knp9Z8jyHVUu89DmBM3bBGceDDXRD92CY2g7j0eqMtvErLVtZi5PhTo0T/ht721TkACyPJlz
WAaT6uKGM4RPBeF4LW9g4RzGwQayUJrQR8T3iO9GeOxCI/GtqHJQDwkwIgp0G5EizY05N9wnrTLe
NlHr3HcD5lqT0V33S2hL2gj7L6X81oFP7B2jT/ZJVxT7snDGF9HR1Jd2vCMCkhGD7oWMzaYkZ2HD
TlNmMtF86UlVdQgh0hk8HwoqwrNv45qasZQzSRDwOH2kwJidm4lRli7ItJxMO5BGugRK1VfU5lYH
lreqgpkXIgi/x2c638M0QXDtrqHRFQqCNtdObz8qGua/aYTZjwLoUu8ghavn2V6zem9kOKv6BagK
qQiVZpNHQGsMdth22miTL6OpHMMqUbtNWDXJvm25U/+PvTNZjhvJtu2vXHtzpKFvBm8SiJ5kBBns
OYGJooi+cTjgaL7+LagyX5akupm37rgmaWUlKRCBxnH8nL3XBgtXFWsUewriazbefufdR2WVp4ch
c9uNE6TiZAwmguJUDTPh5TUCjVTq764eUU8GOBxAKujFVcOr72sn/djFfBPXYTY4qUWTWDK1V3n0
GZBsSN5qRRDs6ru3c5788ZFmRvnZNi0S2KmUxltFT3vNFo1s5QqENurbYS0TOe066qUHHwbbq5J8
zqQV46buTHFc8q/CdKxIfLEt+WwiL6DbK5OZpmjPnYCKW7wksS++ioYk83zUxIsnzHSfwUMpDiAt
82066fIZtMnE/hAM5xqmQNmte4hYxaowNQeJMpry2HUZClLuHXrU62tvGaOzKw3abc6+qdyXTc3f
79JYPYloiOeN79A3XgXx4v+odRvPWUn/CSJhUiz3oDYcITYm99BlYDl4bW+ikOsa7Qn3DD/Ra/Ig
uYrNma/q5uqJeWA/3MRRFJ9TH70rearzTY3D8tpObD6VOMmdrafuvepMB1j05IkjISDJORtk8wYm
xNwMqnbOccujuqnqct4i0c6R+o2LtAQCwLkoGuWFjQMHkYdI8FBxdRn+imMOx+bsYU98b5fUFXtG
JSZTznea5eAMJ2xffsJJ1Vp7utK4Ne8ap23enWWHGVbu3JDMKbIUI5eT7uHb8bEaeVpGa4tjg5X2
ekb5+N5NTfuiEs7r7Hnia23EDA7mHrEaYvMyOsZ0IxgBQGoOBumc7VkQAqXqID6PjDkbqu2ynD4A
ctg0vBt0iUAy4KVF07XBa7lZD+SDhGjehaBZmyD+BJMc4XWrdeOhMSZCYp06emzcJD65yMXf3Bhf
arcwvVamNkfGSsEd/HB6/G1x5wtCgPVoHWu9Qo/OjyeRZ3z0Ubq9VXGU7r9baRtdi889jXF4ASR1
pKT2+vbZtkRxaPMIsnUX0MRZpzneTUjy/AX8cgs/cCi6dTbTE1zNPOe0sSr5DKhw+vQ9AjG82HbC
KJqKg9F2y11OQA6xPpnp3Kdlop5Ad/deiIoTTyfSnYvftVgSssS914IZnmRTDcmZOJbKAPNVtS+F
AN/tu7J/0hHgXsgvsM8mZL9rByPjRdiKA+Xo2ZAn6CbRLGD4bMlZ87NkutVjbfrUZ7j32rj4H6zW
jy4mLrEDMUH4Lq2BT6zn/EIhPT4Gui0/5kExfZjBHiUbrUymTw9HRBWifYZ5Qb9FtjAONCJsXa1G
y0WOLylaqeZGFzthg7FqeimmQ6mUm/DbuZNmTbQsva7NncaalZxJ6KzJojfm+lazMr1dqangWuvS
T9SBTB4kRIBeP2vmXoAq9DILRTmITwS2xpMdAx6HtmJ8w6jdI780R3HHajF/1mbWkFtkkuWFIcTp
v5l+PztcM0ZjWtNwWlze5HKnD7nRrpgtgq01C+0SdMQrpp5LbG7ji7suqhr81mZz6tTUvI5AF++M
zo/PETH3uy7AzYkhzTqwjgG6R31mHSot7p4xpiyKf82XrPF1vlBHp5qT51veDXviaNuQtsEiBu+N
vmln9cCfLP+NJJPuFMFT2amiUHsb1eZB8Nq8tnDvEvTqxemta8tm2+Bxf2wJWlotPrkurvm/ZNM0
60g11rsTxM7Wbsg8aEh3WZvWyIxKWe7O4HytdOjHawAZPIedVU4Xo2zH2+/Y88qGzW4WsQ0Cs75H
63oD7hD/r66n7GVaUgX6IDsB9T/qfaIQzjUth83dsz6UxinxiCJxLUJ9RsLibkas/edqcqJ7NzLr
QzCmfcyiW86AD4NuJZjOHpy0O6ppKtYpz+YN4O72GvzuIr+rphWlPiVgYA4rWqhfAicRh9wjfyIH
z/qhCvuIJBDV7eTzHyJBNpVrYOrt7KtxzOxn6m0dsfpYvwdDd66DutsmdJYPAgfEGOJ3pcLL6ukZ
pV580RFYbL2x2bt1IdYB9qp4lWKk94f5C/2/8hV0+gwLvWZrRSZ4zELPDif00GwlYZbn8pBrurVS
kaaf89LG89r3zlViLDG300DkgJ/r2LYyed8LzWWpC+JLLzlI70Teba8zrKQxDbfWgzsfpIH75IJQ
2qep9zQCLdvRLk2oAynlVuUyL6vTIblJfRo3tWEeIqaz74keDVvla/quwyG79lP0iIPiYZRN0q2G
nFZhPE3uFcWF/ZzZzq5yxnrL48QCXGfsTmOATqjxg+BT5b35PDa2cQrKYCY7pbQfGsCh4UgNu3VY
u65QTxRPhuN5d5PiKjlKjgRmUhfC8G/jDX6H5hs49sIM8YGkJ5FxG0DXjFPmyRXE6QYgzcouM4lh
JmuJCQaqOzMu7cER4YeJsy8ZDN8jQo09itmCzGBbY2YLuHnWzecu1cotj+I2hY9MoebgwYCAcCpt
J3okE4gyw1ZgDz0dEAbREBcENzPeYsu/kuTOQGVKNolTIHq1WudcNg4BXckQwKOqivkwTbW6cR0U
5dRoWs4DR2R8E4/ZucisBHZFNhc8d23FtrQg9xzbcT2omyDqspfStN0dqK+KV84SAiXmhkZDn2rk
u0SWuJ5oZi/kAJWC6m0xIQTglS8Owd1t5o37SHWhIr3r5ntep6wGj1W/Rl3PgAf2g+wgySGzdmW2
N0YteAlwZ7PP+dLWVU+emjOHosGcnRHBCX1AdcbLiKrwUJveuzG736K2Fm9UrMVbIcuaRQvSpVc4
GlahPt50Xl/eTS4VSzEhb14xb53DeIywhpf6uFdmqdKjZtWDvVaeLtGK5waqgMp267M2xEsS2OTV
Z5oq+KdJboprxgAFi1CNav2tLOEzmcIv70D/QLZKJxbQLBm6j0Ka+nsls+RDRIjvQ5OYgbNoHMZV
bVbfo7v1h5eWiofrlrLJIT2v4C0Bw/xQNKR8zQFZtbwt6dzNhYE3EXs1WVFRaj5QH7MzzcvEPsb5
KD/KnMA02UuaCHLqy8+c0BW0xXMXvekyM0itb3nT1zaBOBK7wxuIYDbhdpQCNWvmSH6Q0K2VUCZU
wCQ9d6r7QowsDDIZh3rrxZ2qt3Yw0NGA+sftkWC0wkdXFfV94va5Q41ZR2+4Tfk3QTOS0+JlQe6s
bVIMCDazpi5fK8m33GRoVwjaZFTqsYkZOWiW2pW8SpGfsW/UK2Uk4dCgoN9SvPLJs4Ys+WAPND/X
iR1M2g4vJCUAYS38JDZTwXWW6Ha1dgFq9cTmuFwl8lo9eMdjH72pViWMxnuyTTGsO2Ro9z1H7YWF
y3SwreDtHyfTUcivVnhmDXgFcgk69QzyzlbsJ+qdFThxaAmSG0J6QZx6y7Cre8dIzWpXpBntHuwn
KRvMfMz3jUEX6GwKYiu2nTM7V1Pb1ffOkEG1AEqOsnCIxJIJ7jn0Q9pGz7MrWapc7coJ1tsNYAf1
qVw6s0g/nCa5cfHmPeSTMsHFV9VzaQTeXe4FAoxJ4+sPYCTktAc/YERnu+dH702l8x2pyvnWaRVx
8fAjVhrzvxp9OdeEZ5fefzKt6ctwFpXW8fdnfAofKbsXwkoHKuJJKvktzWSGmalvCefoAwQKO7SP
5hgWYL6od7mc876i/3ccUqktCv2Ois5J7CY7EIhBE6VltgInQ6QOmsLKZsPNS5j3V1j2OpHrFSCe
MjTJXSzOiSKZUiwlZAHAvEMDaCaPRqabG1HU+tGVJJwMZQ+JJfZHvPx5+jTPyfBIqI76m7b6r63H
hXnE+AvTK6JsIhh+GPsJwSVU89jthp6MTG+C0MbFLiCrp+X+r1uP//JQAQMLQlGJ4P25jdtajAeM
0ul2iGBIpzGNARwNlGvLN8T63z8Uw30m7ZiuXYzDP/6q2RjzZrJtSMbjSDVjzWLddl0edqPXH/76
UL924W24UDpRrxYyhV9ChRc/Ql44nMCA0CtKX/MOuJ77OeJ7iKsoCz1CIqkNF2Sbbtd/c/WWbvSP
c+Pl4LT/F10F7cyffmcH0j6ymq7b4aEinDUbE2zAtvibQdCvF84xUUpAZrVdc4lq/vFsSvoJUomo
37V0sFvUEsvC4IzCU5usKbmr//qM/tqCd4BZLNJpWFs6Rv0fD+cIZVqJ0fU7kEqELuXtN4Ygn35c
l6h9yis3guP610f89TQ6ponsmJklvIBf1H88YNngW3W/Q3nkoOkL0A3oQb3566Msp+nHi8VRbDLH
GZmARlmAA/88YQeabCxZ1z0eQTWtLE27hhlxngwcKKNeOn/zm/7VWfzno/100VxbJwnPKfqdrwaD
PhSplgqGX8PiDPOI+h1Hwvtf/8CfktiXCfAyNvcXkTqgVCT1P/7CKcldbPs8dkbisvWu7eIp1nsU
efUMQ7omnqgXQCMnn3ArtqYuJr8jZcK+j9t6p/pAbej00IMcvObrOFraYXJtGKX42u5nmt+8M2Ks
8WL+m4XJ+BfX39JBxSMFwJ/1yx3ny9iFbs5jlA69Td2kDTlxAqOjNjibEShK2rmNT/6axdnbmODh
3zAgE7yG4erkgeYP4yYOaNpb8d88C86//Gqsz8sTjsHk59xucgbdfHaKbjd2ycaMEmeNaJ3tj+92
G0T28nFMrSzUBxfAZw0K/ThWWXstI16zyDURGir08LktMxxwFToSo4nWUeXDxzHj6SruTYbmvNIP
M9CcNex38lg8kmQZ+QRP/ZBqT53yozCwUoE7TvO2lmUuovaWeTr9yS5vJVrwgqC5yAlIdmHPZOeP
Pe7AU26TrjxZc75tEblCeFo2cd68F2BaqYcpfEdM8tdwA/RnDbvbLqtQGEX0XfLJunR+l+MRjqHg
u0l35pOr7V/frb8+IGwrkKrx1NuB6/08BxslKCdnWC66TE5a3idh6usHoJEP/RzRM+hL499+JDmi
w2LtkFG0rDc/Ph4BfXg/mPMOBUx0wM22KUDVBpV93VoVjrjAffnrX/jruu0jXPUBmYAyQYz3k9hM
xoFiB9d3dMML8i0R+BzY6GBWxVmw/utD/Xqb+g7DeUZt+F4sbBc//rS4R2ZLz5O3oK+cq1oTxqEe
CB/7XxwF/wllCqFwnMMfj1JCBi87BpMYb1v6TMILtH0vYv/2rw9jLIKxH1dqfg2pTz76RQakP0sN
8lSjeG3QBo2jUa/R7WRbdyQdmMKMiUQkPUoKbnzds+Jj6z+3ZryrCbL+x7L0H/vW39i3AsPiTv3/
Soj1l+7L77aC05fy2//9PzTk6G197f6r/vwvePd9+Z6inPjTePCPf/+H8QAnlo7dALcWqydKIR6S
P4wH3m8Gs5kAZwHy0sV78KfzwMe/hVEJDAmVCE8sf/Sn8wCWjLW8xt3lKeaP/g040M8aG0LRdAce
PxRwKgLXWn75PxcFEyWBwXRR3+e4aMr4s4i18zhFh4wBeUXzpEz1oySbATH3C33hVWbJv3l0F8Dq
P9/t378CzC7kk/xmE0nRj1+hdly38X1gHXU76afIfpmC5lqqfFMxo83BeeudWFxBMd3hIrppAATv
PNNmYGi+2hAn5wTMnxbf6LO2Smt/2zFFbjzjJJIlst5RKyBra40GGLjurzZDQRDbC8p4peVvGYTI
5X9SrEPEnh7lXO/SUq6ktpmcYE9zHX4jkfbXgA/pKM56R5tea6VlrfWc4ZRVPU1+TkygYbEx9Fcl
8eq2afFio/OSZvOd3cmF+g+p09egWWcg3ToLKEx+TebGHer3fjNW0I+0oLtzg1fD0jYyBjVOZ2WD
rHwx94cI7cISZLeeJLz1irUaS0yx+WXUoodMDO0ml+WG0NQ3PBP6Li3621h6V5lRvc8xb8YsD4XL
bNmd+Rq8cJiUVNXXcrR1MNU+PUN9+FrZMVMv2CiVHBwQrg3+YsnB5m2aW+e4ZJry/ZH5z+LyN4sL
5lydl9N/v7rsvtVt/OOC8vu/+VPgvviEAupFk6AM2+J5+X1F8Z3fXEp7WjqUa8vWkz/6Q+DOuvPH
CqL/xrvLRshOtYkS3Px3FhDWnp8f38VNxYfpSIdQLbk/bSsCs6588uSLveXHr0OejKtO0n9CHPpS
ae59SzxNtcz7/dJ4oZVtbHsPfyaSgG7RBjDNMQ8WsX4HuSgHgEg5B4AgxY61oFlDcSCySgXt5xSx
oa0T9AdE1yPUXTQJSIn1i/Zdp7AoFnDsM68A9bONAD9t+ti74Izyb4c5xW4D4aEa0oFP65dRoRAb
qZlkOS0qCcQMoVDleZKmg14cJUWGpKJdtBUONvl17Q1eaExD/2CmAdkYixojWXQZNgIN0AzOTnbx
M/DzdGUuKg5v0XN0i7IjWzQe+qL2MFzJkH1RgDDC2dhIQnqkIf2iEZkWtUiJbKSGcE5xq4Z1u2hK
0kVdki86E2tRnDSFoDW8qFDaRY8yLMqUwWY6jtfoo1tUK/aiX0kXJQvN7C8mk4NFnnGkQ1hucd4M
jBnRJsxkDm9QZ8G+Qh1TIpPpkMswXT9Hi34Gi+S4byy0GKNXG5dg0dl0i+KGEmtbBsMdZqfyklPA
XKeF3/arDCVzzkCvuGkbKx42pq/oLlUif+mZFN4h0IbYK7UutIDtgxuIVXsvLC26B3DokAs90cvU
SqfdA3wSdJua9NTWxfASBbTJ6DkET2MJBWlV1z0D+xq1Q6LImJUDJGCBTvzOGwb6WwXIJmb4ytl3
lt+8emlGZzLzVPFU5RX04wKFl05u78muvnd6jSUiOdab9hqRgL9uUsvg5AVmbzBnZG4szabCnRaR
2TDXenUU2sx0QviVBwSjyAfyt4D6Q9klXH5C6LY1By9780z6yusxgh6FADN6ykxat74VlZuxTOt7
EiGNk+USEW0vnT/GHNlb0+CmhQLk0apMCe4FTEIaZIfA5HZyANz3MOOrFVijcYNBmes3lMQud0tQ
u8NOft0K3/6Cw6p4mpA3vLc9Ub6aZfVZGFPI7Nnb8ncSNd5yAjXctxMhzpQFxgMaAfZrHR+JVn7q
13oVT7cm3Lcnp4f9vHek4seLKZ4uRJLyHcuacHnMKfWV5K2dh9bEdSD2kw/EAJeIDek2IA5gP0H/
KJvXhOdvl7roKtnNMumMxlS6S+5C8dQYVXqaYGJ/YNVVO6O3mm/OyBwx6uvm/P2bZTRa/K3ql9Dp
wjS9u3hOGA07reOGVpT4dySgI4nQuvKzWBr0lVP1DzKzB7JvJrS46fLDvw8oUap2j95Y8heJ4DAP
jmIRWdNxmTZ6AE8rG+zs7fudhsmRo83sXPqVMTGnSschID0nqM9DQ1j2iqY82hYG60+06c3noVr0
a11pe3cEpdmHegmrN+jlr9uWaZQZ9569bxQXte+hgsBh5qqZ8HS3xVB2H52XgDrRa/eMiX+6EpFh
XiI9IyZBaOUm4Y4krS1worfARB9B6FuCrCAa+SDlc0RvIoS6iBPtvp7ZwM4u0w7S3oJdjYVu8/1q
ESJf36fxJP1Q5lHVhQYb6rCmvAMgbDvXhlioJgCqE4Woio/vB+S7XjFy18/8B+3fq4/UIzRFnYYy
m0+ySk4KJyq8lQclmNEop36rUpQMJbkEgX9jdj3z3Pg2IT5kVXTJvszaT2cIrgKLSVTHJKQyvcso
LaZGyY7gkae4le7a0Uf/Gp4dC13kUNJoUJ2mOvTNqr50vMf6lbm0yIzUcC90vR+lkS0J1qzhueGz
N/IaMk88NrJpOZ3SMVgPY7aWUX20Ki+6NTptPBujmW39OkalN/husnPrHFR2oOzNBB175aHy3SuF
mbLzc5Gstdb4qGKCSYT5TVSqvhJQBK6yuZebyiyNAx2Tr63R7Sss8ChCijBXvcU8Io5etdh8kZr/
derpGs6VLLeFgsNUThU9ndKa1gxMGR+aramotNz6vrdsO8SnO3+UyqFNj+5yUVdvm268r7K+OUJd
YwDcJaHjzFzg1MW0LvpolQ1TjmHMeHQnhjUMKw75OJUHnXyrPTRGEO9+31Bj5gSuByTsxdCptLp+
FXqPUrSqdVCWundsufHZp7v62lHRq26UIgSnveqN6dOamkuT+t631ET7YA9Cf/MQa6yNPH/o2Jt+
Ic3Q2vCsy1UK/SckhA3hGQKnIyFYtlipeWY9sFSxj7PZYmjh6yBpUBUE0b0o5UcyddFmibk/IaId
6MdDKOjCqjNhFFZz228A/YADNdwTvvr8jtuKHFQ3Mm4tkjrZBPQVO5dey/Y5eL01lAgFp91svsGd
yzfwyw9TWecrq2m+9Lin18KXwToz1IsegUbXa972ATMk9vT9V7rsryKxdvokosfBaGiTWrlaOeha
wtpGUdza5MrRyAKyh+c5S6v4xc94D1fSWneIx68Hn0EoRYL/YXuOunjM1h5zbKXUENjMUZK603Ho
IopsZUb+iIMhe8w8cldtaZffJAbgb+gkiKRpS2/JGoiQ5WqMol172OaSfxuXRNDPnX7yoqy+I/Aa
e0kiqKws1C1D0/qnRjXDW6VPxdtgGtbJJSo3dKiwVq2bzuuCp4iVvEtRDSWVIwAPlX6wcscsvoZ3
mRtHaUbGuErkTKBDIPqtH4tS55GInzp31M6u0fphbiGU4SISSQqhUduoPOuvPae1uWMq0NS1cBoy
JeeB1+DY16eaKIqjjb4bXp5TkpYgoqcAj94FXUGabWYpAG12QaWduth3DlQK+c7Qa7FJxyIKcSfX
9iZpx88KHP3ZKOPucWjTYU+4pHh2RYccl7VwzSyJmaY3QEGzG9KZvfmQl1RhqIe0o16zgDWGKfY1
/qQQrFGGxm+K0DsaPl+rQP5uF++eZJck22g4566m37QRlKbCqtudMLH19EMehdQMNyNqbIyLOzA6
zD/9+TVr27pZZ5VCuDyIFkt4bqzSBIwm4DTi2Nrc3s0gcMcUmizpM7wGehzbTiHV7ZxT4+Wqlry5
lH+GqlLci0wO6FRz7dWCjkgIhvw2ANNdCXfqtkHjxtu+iJaoK7CBbZuma9LbeMTpjy7atQtv0Ppc
eSNSsaCfVlIfnCerGXfjMMZrac33k2t5pzE1yXTw/WyHM25HUjNZu0a7qVUdfxMjoOCOV54SdbFR
acZOVR/HIwAwGfaZjA5kEVynsbjYkQM9MPIzuHPueBVluBaRtGkJqFHkPJcgZ3U1rrwe6v0yskkK
A8hJOWTxneVmAjt4LwdAbnKwFYhCTYt5JcRCZ8oZ6PHEgHgopvEwUv/O1w6lSh5mcZk7m0lmaj36
jYm8o4dqCB1Y9X29Lt0Uzw0p5AkMR4J4FXgRK6rNPW/DZ2aod5oeqG1ZBcuoH+Jn5M3zxphmeYoz
p4an4Ng3DJRfxGylm7lxL2lQawRXd1ADUKuuCxJqz8JrnHc51hOYy2p+N6TR3QwlAUypob61IP42
g2OqG18paw2Awj6SsMokxEnkLQN+85pBu7jElCq01ZHaQDJ7Y2oZrQQw+i9DF0+o4FqbxA7yNEst
hdab6TrZm7IKlUrHEP5pwqtyoafCwNnpfvAQaKBuyZS/mi0KbcbBH54JrsCGy3lyjTwsavtrQvID
Wqw0OE7xTI5WZixFf8zo/F1HJPLh5U52PQyVpI6X9t4i4fBApse9znxEXwlqGQ2NdJcfwCQCOp9n
e7q2UV3fNUU5PxetXtzIpPzKBjQuN7UJmJOewzKbryJAu1XyVZQlb31NlB+eIkxrBSKm2/ZVqrat
obevlC/uxkRxdukiMoypgS5WmjlngiEWiCIQgaNuB2RSTzNPGojUJ7cf+ivRkIEwF8pndjB1xTkH
ROzgVLCSd4wAeryKsnTcLpTGnPfgkubC1rCmDigC/4PmEwuHih3jgsbMfybtBaa0VdJASRDfIsuy
bI0l3wuqsNeH6qFaZNyENvmkOSPtJgeSeDZjPqSL7LtZBOCgVvNTShvoFQQ1wQDfleIO+VmICTOS
p00OfhYxRUn2XVVeLQJzpuSL2BwYxXftOdXzIkUf/yFMJ+C7X7VCqs9kEa57i4S9RTC6H1G154u8
XS5Cd9RU13kLya+JEcG7pa5u40UYTxozCqZFLD8vsnlnEdCTlEWe1yKq54s9svGL1l6Q1FstQ3pf
fFfh/6fr8z/BGtCoWTqv/33X5yYlV0rWiwXvz0by7//qj75P8BvDdqAFzkIpYH5KT/j3vk/g/cZc
HGwMlmLrd9T8H+mPwW8WPSIeN9QBTJiXUNXf+0C29RstZvIg6XcvVADv3wIboMxaxh//NLbQ2aIy
NWctgzdv0Jz6qZdsQbYsO5RIVxXxxInoQ0Bj2nqkINinnTE2m9y2eFUTh4Lsc9QsckndprO+jbAI
5KqEyofad5I39J/ZcK0Ej/wzchUbzAk6NXKDpPEe+2b8WMJgDtPYdZ4VIguopGBt5iEgdzutM/Kq
60TzbmKWfUpql0SLnZYl+Z4XfnXlZSMc6tG5K9rOetcGO5qudKRa/grtQXetMhBPj1Ye9d61nAWI
1r5wB54mG83TRzZPqJVNyeK7iJ8CUKrzJIf1TGW2tlrdAlVg9a+IdQbaYD3iSSxoKSJmQTXXLDok
5z6OwJeFFruafNMUUfpI+x2RejJUc9immXIPtosp1ENpd+/S0DlIr0t25ph9FCKYNgD12YbpUAWR
55nmDo7Jw5Rb+S2Z8VG2569YN5OXReW6G62UWA+ra1dUrdamM7QvEE1J5NIBVi7dLY28GPIFBWZu
Njmopdcz9ZSzmW1NXgy9cG7Udzg1AnPj0AP/rK+6OYie5tL37puFONl2k+kfsFdYGjuaximuQHlJ
EXptlL2ooUXybZleCDHZ4xw0aiV6Nq9uUBdXXeNxLvtyoGfmYjlb5dM0XHU99V+oxU2y8VJ3vkCe
J7Zkh7m33ecGgK4OKBmOm2E/ZQMBfR7cgAR9nWBfN0URDfvSfGlmC3/HLLX5gejsAutLTOm0tzXd
L57SFiHUY0xQgqfT+reRxm3gHwRS7sw+wx5ySGKnKldlVlC7fwGX2i4KsoI3t1OwqZY2W+HGPsFn
GCiI8C0BJDUOqZovRBWS8JLYbATzmixTWhUL0lmAf3cXwUOPaWZVzEvWKHuTYYMxnrRC6hdk9t5D
Pjpr8NOHuG9vnMln/40Lx0vrky1mKHtODrMDZwRM4i3JNvJR05K7EX/lilTveBujoVqVano19GHe
el4abSM13etFJg+iZXAwuyK7FqWmHxoHdwwmSfMYaBXiRmkwj9DwPJb2mB4RttVbbOTplVZM80EX
PJqmW5iPwWS+VR14VGHEHk6yTgvtLlPbuvK67gjqMzvIdHhvscYcSWaIr4TrEYAzl/Qr4dbX7Ptx
yvVbG4VmnmtinZZaRfKVBhgcY0gCGTf5RmflxRvpggZR3cCE02lVQbVkU2n7w5pKNr5GdlxhkZsa
yAnzPUpeqgJKePZTThTabWbc8u2zq8yZtHYVjV1zYPLUf2uKZlr7CaB4j4dtTyGzzmkZsMeau30t
xKEaHNqSxYVU5uvZiHZB2+uUdvNDCum81iU5mfFwIWXpULGpXPs6aTYZZz92E7zp9qMUYudP401m
amSxOv24bZuCfKhoJhg+sp8WYftqqEq5NkqIJTYDZLMa4FkXSX+fatWNLwwjDDoiwkTnsAimGEQX
8W9WjuOK8s6gaDDtO5Tz1aYcF6xSoAburUYaROcl7s6UJbThJOj3flt8BdyXroSpB0eX5fLY409F
8WBlJ4rzbN9TGa15Kow7do93KpMbzedHzXV1Gn07+0IhZ4V5H3lMrzKpXTWNaV9SU7jHuqEJwQVD
uT82wasnkhddkxCvzPEz6UpjH3uyDyWx6ytwVFPoaFFw7KfU2kANC+46C3wxlWdwyDPvErnt3YB9
fMsygTsu02i04wfonllX+rWJe0CtGqvLTpnZK1QhzN51LtSWrWF/wj2fXKxxDG7aUb/Mrdat7ax8
lTGKpizoz9NY4gJlgDdmDdLeSl6kW7G6sKeJej3bZlZu8fVq+0tipwR/Jrwd0HqOuYEXOOseCjBq
W5OW3f2QDzdwrtpwNLrsEcT1oxMHhJBq6oucgxc3Ng9m77jcx32zLYuC7bM5bOWActrNdvAmI86i
sGFTxWIHYvpr5UzOxiF8Ya935kMToYQG51iDOEsKdeWIQT8lhnXpmYQWMnmC7o3xsAAqiLSYjdJi
qgre6EDKECJNmC9raaP5t760djLNxsvIpaMEVLEIWUb9t5wIqZcCBt66tTweNY2mn+mpG29SGyVy
ImDNDhG+MK9alxmlUA2CmyiokzCfCh8ZYz8fkrrbd012VGmU77oCkmwcaA1AaG3Ly6wI5yjwVv4A
eh8BdG9/xVeGhgaipX+CR27fJSV15+y14qZAz05OnKo3TebAUhhdO2QTeD2mgnfCUDwaNjTKqEah
S+uIyjXYmG13D+DihHqn/KrIZQ786SUj4Xij+D3umNd5CMQvvVKThVOqNLYAMHzyAmmXAdy3C7o4
kWiw+iXGlZM68ZamFfviPrZeo7qnPtYNZgxg6fDr+DkrkyJV7TbWFCEhdQuHrOO91qSMxKfaydaG
YcDN65v+2kRmGaam2QCy1zF1Wdpjog3L63mI17UbrIgfOw26Zz5ppA2c9bhR4xr4sY2XYZqz/lJl
GhlOMp+Po7Ie7VFv3smm1WIIfFWfbx0PE+vKKoyhXdk2+J0971nyDrvga4nX1UiIjezYuV2kU93S
j9ZCkWt35ZT053xMn2VrgUcYXRD6s/vMlq54GNP8SGZstzH4eWuzKsQby6u9H4zp/9F2Xr11I1G2
/kUcsJgJDObh5CAd6VjB4YWQbJk5FYvx19+P7r4D61hXuh5gHroBo90qMVXYe61vBU/JRAGgtwOJ
YVIz1klJjdaZbfWeVyHKTi0utum++iDt1zjctOuw69NHmHI9h+/G++kQao1bneqPHZnZU+m5453b
41lJW++rmaLtyr3cfXTBAK60wNGXhhsl90WIOGzo9WZLHTWn6jaUqwGAZ7/hgRG0NpjppvYgeCc+
vx714pzu+I9Kps+jrrmffL/oPiMSpZzfRqdMRxE/dizZblKJfOnFEpfNVFGdqnSZHZtpIlqTgjx7
hCK85ky5UykCWc12Z92VX37ycqq4TLdReyYLzdtNnNU/a5O/K8lzuAfiYm0ELhtCTKc0vgK496NO
ve/MzoD56ZVSiwnaB7gRsGJNf1v56J1sPEHroHJYILDnrJRBKGCE7hUHdZkYp4LkmGVp2PUVtAn6
HaoZryDg+ru+FLjdovp7BlNj2Q5ZLG6rqhN3TJAN2LzWpF7lqD7Ktrjrm42VWymLV6MVcGd9lAjO
aG8y9oKPei/NcUmn1oPWiDjuLudw/VxktvNscTDHaqJCMiGieqGJjA1Dyz035p7HRK+PDXB3cNtZ
YtHqs63ghqIPoLNlj9wYQyPyv5ydB8ClGKUF4n2R99FRIoPYEEIT3vkaG1HCAzKssUX3KP1p7xj9
jzJwnG1dudMqVxU92yB09kFRGotpQM/HIrnlqR3sZC7SxhjNs5Iz+2C13zq6tJTJsUIWFcwdO4NL
JoOa9S8td5FFLMIYkP4OrZjGtDKsRSST7lDo/TqQ5imJEvMhRky8zSrI83GUl0dq6zneeP9unCKq
9bX8RNPM2uriGRIvG6YkwFSRBw9YVfNFVhurQLPMlRPhmWtsCSw/AcrgjMUakPFuKnjvsMU1tBcM
sSzJglrGVrfysqFmOontBXoh6tQzZX9Ko28EPV05bPA3usctzv3qYSiLco2QlwDtGLs+nheK1l6+
4qiCa0hpGF5DF0sLiv19WVqf/D63tkTcfM+K9qGssLhqznRWNIHYLtvjZuhpjchKrXD0RVTDbXmt
IQjcyIkEqqxHTqaIkX+gHYhLwMBSNYyaBVcRMDJtG1KugW4uyCwsr9J8eiCrY9gQmuEvY3wyhBCI
lcCbTq4TbzkJ34hKQIQ5gxc8uCK7qqPWOkn8QMu2Ln6y+SWtN2rWIpnwTWnU6rBb3QxRA4AAvdWD
tJIY7EYbbmqr8NeWxWbHqD0bA3+SXachk8vY09P2dbs+OV7wrDcyXPnp4Gwj0k3O9UgZzm8cscTn
wa5HVP6NXiWnYhjbk6HTLijrHvOJTBeRpY8nI/EPsHv15eRAnHC7rqOR4vZXdOp/lJw3MqF9Nbzp
KaycrSualhgilmEjwVKN3Svw0g4dg7bNop+aV9M4dFAo0BipdnUqb+vYPBZDxPQY0Rxpu1jfVBXH
286QJgXWbmuUtljg7TvOMlz2CfpBT70H242Iy42nJywD34M2fIbjwftTmudWXbuYl8tuIhId8dA3
XNhUpq1sT+8Sw5XpXk2+9wXK4Er6Pln0LI4LI0QqHARUSrVCF1eWVZ3RnI9LrUmo7bdTEy8IxtBP
aVD2bM+029apOw/n0zCxJFAnXxisBDWQjirajJ7X7CVv8LdRRi/m3As3g37EgW9g50WTMANG7fxr
ViZ5uY5BoJxYsqhxD6WZscErpbsyIlmce2WoXafRStBxvhNzAPhhWRlSj5ZlqqqvBqAVyumdzSGn
qh/61sv2XYetl111uvfdqNhaCFg31TiFx15vnY2kBzzKKcTq7d+QMZ/cFrEmftpx0x6nKHYOlenJ
nZGRZg22dtzY6D/urQKTqyeNJ87wyXVaWBzwQ/1mmkJ4o00ZXpmDay5bxH3XAsPAGgv1sDXLwVsl
HaelzrUAs0K7WUkcmQHqqm1XmNYqHDQOVTU2LhSF8MjbUcOipd9Qc/aIVEjMtRFlAQ0V5ezcbHz2
8tZfwKt+csOMO8am9rpos2Ink3Fvy25CmN6dRF6yrWgiJGGp/40+fkxHyzVXCWbwhVYRr2Kxr5x5
gWy4/X7Z8u2EMJJ4XUlSswxMiWowliXKgw3FzWzPvnHv5kWyzIgp3TBd2Wtm85FHbxdrImXw2FU3
HKa8T4AVrS1HYSou5gCeIfV9dtKWTgq4Fc3aMk4Lp7Hxj0VTkEyZJtbKCFx70ab5Uus4fuA1rY/u
2OgLJ8ziXZNaM1MdtG6qGv2IT1MRr2b+rKf2evSx6M1nC6gIJ6QawXqYwvw2kTxGggAXaFpIk80y
FC49udTEmSu4A552pJV/Gxu5gUMqvw4d97H0ENKyv4aIMjcKmmHYFELfhj31DtjinGXsaNy0Kdog
zWuNRRyrl6mszk6prseKVrEkW2kKTdKSa85ZMMDIy8lJA1fgaoOMco3ZLPVoYFa29WAXlZnE2VfZ
bFpo1/GlLlt05gu9VcyRtpArNoDPnZsQUmLvAXXdDqokpqoZjRVHyCNT9CPUjAIxz7DmqMWbLMgk
VF2DjVnE+mkSrbHFdEwZZWLRtZSJtU2QhEZiEz2aqUOYUddYpDnoTMXn2tIom/R9TyJgJu6ZOz8Z
KDq4IpKcU6fn5OX1yxCs7UrhK5sm2ItUBFYiiPtDhKAV52zxTMHbPyehxoP07G3d0x13sDU94Ge5
dSe6PUMljJXZ6BvV2BgOpUycJRtlbeXQmaNN4Sb3eRC9eKI+NZNxTD3nCfvNpsqelMCerLyfEn88
x9x4xEI0Jcsm91d1UixFgnoTdcPPSkk6GGg2o1qL1rWFT5MIrWVqlHT/Jo9ayZT44aooqAVEApAD
s9a3pExuZcQEvWxa6QzYaiz3Jm8746Cxp68WQ5gBk+84lCNpkPwlVvIKpD4CmQpDeDMUchUpkJK1
c6zoYUndXjoJ+kt4Glm7oYoTHliy7AW6HbdmhR7r9korJ7m1GiMjBBzI1T7O6uAW0bsO5b8R0s7Z
Gtf4awd25Opew6RPGBF52uNGEvgjl6aIKLU5nBFGpg+jjTeJ5Ysapyz3yKbpJ8MWZ99VS6TwM7go
N1UkO5Nagxjrf6Vej2ZxlkY3/znLP7+zuWCei9R/vf4jmaX/qkNnRfWrP6x/1dDP7YscP700bcb/
+g/acv6b/7//8d/C+Uf6S5TY76q7r5/i4uX3Krz45//4twrvoOc2HZuP2gBUSvEcMef/1XPDEPbw
FsLUg0eHnfG/xZeW+x/W7OzxQMj9S4v/rQiPGcOFooikU7dIbPobNeastfytAk8SMVt6nZ8zo3Qd
mgT899+geKOPHkCN2kSLez36a3u89pKb3/oSt//8sHdQogyBFAnlKJYOfmX7l5fptyGCvs0QtxCG
TlOMt94DdoiB3uGW/nf3438wynyhv40iAx/7U8QobvGt0b6Vw4v6CMD65716fSG0U34fgsqqVZQd
Q7TT2dXPI+vo9Pz+Vcw/4tXj8Ay0bSgUrZmUabgXQzgDKX0d6YG73vLQwWg+LuGqPOc5dMYIFM/7
o/1xQb9G+9XNASnxh4vMHXCB2tCFKFCE9kLHX7SIcxd5aFhlH2j23xpKGCbmHihVNv751/dOb5xq
MAbBhUVeeA8tgw4G7tprHTz9P1PQ/xNde2GTsmDLASyCa2rNzSq0xq+HwpmOksVkqIKt3VWaqXRH
5j0pmcNEqlo45Nuyo1f+97cSbQyFYSBqWC0uBrVjhHgalLXdmHIXwUmQkis9ZLUa/3p/qEv59Hx9
uDjmfgMtPcxFr68vNbVqqipN7qjYsEXKAoRMWo2WIjX0gR6+rG+rET1Omk3RNabz4YPx5ynh8h01
aCviQfM8GsyXU0ZoVZGehs2O1L1hTX10jmLpH96/yPkiLgcxjbnNqM9T5KVxCheTGhUaxh3RBGLr
9hFdn9A1g1NmYGufRmNYIC+A8yVzuXl/6LfeH8zJVFLg9M4um9f317etQYSGKXdJn47ryrQVShON
HZWr6Vm9MMOIY2WEAu39YcHGzy/J64vGwWVxsejxyQq5tE42mVYlIXWEna0V8nvpOhQfYr031m7P
rGMHaUbRkY6OnlFAYevUbtBE8giSQWwJOe23xBfKRyNCM7eMJ6IPpXLPho0+cIWat7/y0XNtykDq
K1NxkBddACJFN+Z4aCQkdAWp87iJC/PAgfXlldW33EOhxNltDaCy27Uc8m2/jqA4EOy7SjWQCFmF
5i2t23LhIJ89OrJN9pGeuUfqEs5XLXeBDkT2GF3rYGiOWZiNy4nq/5rQ6u6oQqDAi3RQcOZI0r0C
YzA9xBhOVhHUTLTY9XfHyN1DEKNh87SaMAZ3IojHaK6s1FAPQzFa5z5oxVZr3WxdmjLZW/ksIm2F
tWlS5lAQO+La09N8nZi0MpmEuk+mS04daRXqih3guMbra4wLasXiGnM6SyG7wmVYttE5SLr+u6/y
8UywcdvAER54DbqE8eLppS+c4EtUAVVZ5X42PTg9PuNVP4kXKQfIc3ZjqZ9abQ0REMZMPfrGzBIZ
kNedu07nB8032LbEdTnaMBVyBNBLam/OKq8CdZU5gQmgcRbFBHbhVkt+P3JWiYKiw5xopyS0XlRD
xaUf1dxoHh6syXjxC98mbBm6hNVq8ReFxmmPNpFbIiM+pKK3XiaSSP1FhLBjl9TMGElW8RDsYFKP
rc7Py0GwLRP2iIfct5vHeH71KUK5R2ia0XWV98HatKXYIsGKzuiSyBwtTMhaoPo20AD1bWkYU7pg
wQmXPnK5tUdSRrLESxQebNAqu9mqOPfJHE4dCRyH3Et3iZ10d2k5tXeqgkEwSb/hxfBi2u4h9CE9
C9KDx9yLgYKsyw5f2I3nczvp+SPCzyXsUYNt00nBcUv2ieHknBQIdWLLHMMsorwqPuFnD89jGOt3
CWVyIER9bN9wxEm2EUDbrbBk8Mzp08QWbGjByeh9jmJp5LrtwhIFtoUgsG7gLuIBwei/5HhpHaDS
1Ve15gqYVhPwMHR2t4FmQm2tIvPWRXh41Vv2Y5DXlNbcqOmXmLT1XRvVDmAoibWqpUI7LEktC57V
gNMEymoJxURrtW05Rt5PK0m9n1oYqGWjNf1RYp59jnxdrMO2trB7wSVYa42iDkvWF/cj0FNnBR+F
7n/DnWy6IQO1XOk79GYjRFTfuMrC0LrXh3RaB6CsOgazxdZzC7mluNF/8Yyg+1YEdnTW81rfddA1
HEilQ7xES9CZdH2F912kjTqgPMtPOFJIWkKASe0BT/kgJvM+89WYLprGI/0a7Naxx7t9a3bptAkr
6d0msSyexsjuz3IEfDPQGz4NTe1cURIcr4Ey28cUedZWEIazrEbl3FWj6a3QNuHGJl25W9o6GT4c
dOfJK8Nvf5ZYNArsdgTOgIdzcJ2j1t90Qa//hMCq8kWUldFdTR7bD3tymp2AxU5cat7gbRb2asCv
RFGoaraqRDG7aiqScdlQWusWOiMRwM4EW6esI5htOXLVEHE2p7Igoh3rEydnuMV04LcN7w1RTocR
Be8RbNW4zOyAxljiFICh7Dzx9x6HhU2ZJM4KwZu/txu/3KAGo7MFK28rQafkXIDJO+EhZ9lwQFBr
fZRyr6GU4zJqb9wEUaCt3QCgG5hnCuRdAImQWhkbHKOAT1SwCXjua6WYxrr0jIrP20YJSeGKWeBb
HPtAizvX3Skj6V5cvSDlCBHt0ShEse0B0JPqA6rwCVeWeFZu0UAyABbyk5TT7HFshv7GJ8Xp8Ouv
G4Vj0xfg0DoOIUWUie7TTT8lw03jEcXcecRMrnmHJ+6uImpeIMwgsJYhSShN2To0EGLa0SDJxMyU
/pxS2fnsUlReAajnr1oSgyMB6+N1gY1zadCr/WQVQ/A1saLysYvzfGbiFVu6dgEBpEJnrdbzJZpz
f6kPbXpwyvYJ16zagwnBeBm2ib3yglSfl3fKHKPsThD4uH0FBeu1pEtz7aRDdy20ubkxinLYoUQY
jYVXCQondGFCig5dfkgaoC0A2hycZEAIJ6Qzc/NdH5xp5+OpuhNDo39RTTedY4sIwgWZ2PHSrryC
/YyDOYZeBMP+wjsOE8pIIelYlyRb3Vex0/dwy3j0HqS1q9I15b7NzOiHL4BBplni3OXSsY+BKP1t
6DTNivYT0ek1+80tB1F6cZWWPva0nLZFUTt3fu1oa9uS/tJTqtiGKa0oxHzTrvFFs9AS2BC942pr
aKX+svQbc4E0Zbg15Wg9Ie3P1kXFC+4EVnpAx0Jmsm6pNTrl4gVhbbs3Gr25pw0/PfIihbdOBNlS
Ja2PEyHvlo7V0B+XVUEwkul8UZxFKUTHRnCV9TiIqNwU/tYIIJaBvKEloOndS1cE2gMaKIIClErE
ytOcf59TqgaylXR+2cEy+41uVeIEMJkosCBlkjHT8ZBAu11r9hB/LdrGO/tlN2w0vbU/m+1ofe7k
zKOzq/HESuVsqKxoqzGOtZVWWdHODWgjT6EmP5VEE9JGJplRS83h9OuuKxw1FFM978ZI9Y1eECfj
EzJ9tGUpqCATU1i0xK2VvIibwS71IxXJYl34idrnozLXVU1PbpC6xUfs+uOhNcbsJvBEuBegLuH9
zO/y5Inp7GsWzX1KDcfJi4eT2xTBOs9ceCKW6mq0RUV6o9dJvgcg5Xzxg6DbqkC37IUXsxjqk8Xj
n+rpOm3QkGPa8Zdh75ukCI9pxBQoxKdIi59lOg4nJoVxb1RBcePKaVrFpQ03cWyq8RGYoW3jqehR
3CO027iCUNjMp8bZpm5CwFgEuso0UkRAuX1EYAW3ld4tLbNqQO/csHRTcldbl8xq8BlT7qYrQ8iA
5rCI/DVrU7f3ZTiB44YxeY2sqhDLwi3Ke2AdxaZlwmEPVLjNUViGQv6KAUO28OZAtBMcgOHiQL7z
XJIU2rio00K7b3S9JPsh79gxW/TBs45pQw8bPk1lUzmmcUE33utqc9YmF1slCmDbLa9TDm/tYPqx
eNZDa7y2MDqurL7Xn0ffM8jVi0lW16yG3mXDh0mGg3GYhn46k6HrHpzeGteeGuXeG42OVOuxq2r6
ck6HvbUrmelwfExnHWkNPnIzQwUe8Id7NA8hrcog6q5apSXLgL96m5i47Il1qYNdIxJrG+vmhME+
cLY9CLv5igDuUpPH6RWdxBQb6Ovj/M4YUqT4Hrn0UxVpW872SPlMGxkWEF6agEZR35mdSZwwwIhj
GHS3bTW6aC9qTBCJ9uLV5IyCT/titrTCM5DUV1wGceV6ycxph43ceJ7s12UWGtsgiDu0UIE6ouaX
4N1q3V2zQ4wO1WTnSwX81agIhE8bJ//uFtr3ZrJvBgMTlzEQtsO+rd57kYsDaYrv+zJCzOghYWC2
orhLbJuYyXFhwPEOb8wXrSC8g5RSSrcxVpCV14fhzFIku8RT2r6wK+AkLhVfurtoN8Cz4Wn1quJ6
qAAAFGB40g6HpRNneFlK4IPklCbRt7DF/ZkOIsNT2w4doO2pvKsQdtJQD/UajakRHaPEqW5JSKy+
aCGKD1Z1JENa1X6HiOzcuUJawypD67Bvu3E6zIbfrYVEa4edwQaSH9bWreXJ6TYJHSD4YZyuuxxL
83IYZL5yJsdZQ7YOsMVE0RZLc7JBX0M1Ts/iQ0h9mPagqp99OeVHQVN8N0Hv8gGjliHCqI1HXTk9
NsUz23vxdeA4fi38VulLadjluasT2rEGPtjbYBrLvRrxtOKzwMELgX1l5Dli9dTXaBpIyVPEh2o/
Q6ej2dlF03hjoV46FzaK9Zasg68OUGMiT8lQPI2er0gnjNxDihbgcwD5DydC0ZqP+rxCOiKnNh95
0W4oivYYxZ5FvHijPhfKtHcD7Hvgw2F3JOAk/a6AwGKUFDzcslXBbedW+Y+8cXXEuMJ6ahpym/hE
KvcgSFm9kooTuKNxwF6MXUFHKG6IeoVBbz3g3MvXaWDDkoxp+51KbXxJO9f7YoAKRusxecswzKaN
3WR4ebCdLtjjTSyFUR61i1Yb8AuPkpksyZJdQlDEosKWzuNltT2MnCpwlJsTbRVvFTbVtGri/J7I
9y8D0WMLiN1qQc0WDoY/cigW1WcQcuYqdTKqF/QRgFKgCEUb6Dvk/KR5eaWmzNhLGbCVWof5GISw
G9LKa7Wd2fRavuO45Ggv2BNmU4S096J1vEesECRNVq235RQz02FjEKSmpq5YFLNbtorJ0yDM8iGp
0/pL1VaDu600e8RcBNww3WL0CWg/pGxpsMIWZ1gfwJSbMh6+pdIxOiihPZoto30Je6+HF+sRZ0lw
2tFkZ/u9qHT6NIHbrBwtPU0l7cxFY2rZVqVuvex5VFcpdjLgqnWlThQCw1PCZmiRWAhL155n19cI
IINlIxMD/av7QxUkWLWsaf6idQ1sd4GaDn7ZtLepTpHBCrPocZCNycJFULGA9X1uKrN8pgz2zcIB
9A105t3UGo21cR06dFrRi21ST8zslWYiymqzO5AqvVpGERINWwdEihq72ThRq2+mDt+uzRu/07zS
2kYEQl8ZqTMyuciWHODc52yaGOEz8rsGy7he4u3TQixug3vPUYf1JPTzb0HuEtMZ+p+tweqPZHcY
W34K1sGhVndWbP1wMb5jUlbjc4iGd9OlvYem1xyTa9+f+m0nXe4YGSNbmr8DOTE+N8UM3M9uF1n3
cVfKTdLGfLCSBiqS0G45ohDe2Jq9VWZk3HIGeWRCTm+GanIOdY0kVPXKQS9eBE+ln07LTPYeZULU
nLR2J7yiGqcYQ7K7HYiMxlXYF5+KqQnZ4aIFy3O1V96Yn+GQOrcuevmVkzjGSUSd+VOERYEhGOOl
bGPC3wqEY2hsoysS9+w7nLZ+ES7HKdDar0lB9HNE4g9ZgMm6A0RPuPegn4OgdXZZT1RfqdJyC9E3
u1PMuLM8oVr7fqdvZdbeh4CtgArozsGc8e6ql9+wU7m7BOXvsmcjeGAi1Xa56XdXbOXcQ2/l4akJ
65T9b1n8bJEbowtR1bNZJ9VXUNdtzRGgjtLnUiec7iiqNjh6fZCsqJYQxxE2xn2LHBeZA21t/xRn
MqT1jSZ0WJjY9exNXVBGXnqR9E/FKLP7IoeknNujT3BLM7fs/fzeMRosCphv9ImtiqxNgBFT/x17
Z35A1pAv2VRxSKqB6mH6S/Z57Is1x4kdfInkwPdvf3Fz5zEP2RtbQRnu2BVmoMu9740Rt6tSH7EU
Jqyv0DF2KPWeXI4gQ4LVTeooJLKZYkCZSGs98d3ys/5olcj5nZp0Cj0t5E0YiF2H+eFnRIzWra1r
xrkZ/J/1YGmPIZ/eA955olXthiyIBRCwYNXgxkQHYpdb3R/atRHXUF0JuFp4CPJP7xdC/6yC4gYh
ksyZm1MGlJ/X9Vez8UE2xNRfXYLuDiLvHhyfc3/ocLr1XQr57w/3VmeCFEksxCgWEcwYr4cjRkAX
BLIzXKPs+9qot5wAhnUduPoH7ZZfdpbX9V2uzAecxDYcFpN+WVmepn+L2s7U9t+bX0X6MWh/DIoi
vdZk4pq6kr51vEl/ioL5RNlTj3v/ct+q3puQoOgjmwaCm8vugWuqqQ91eBDkBJzttqSkRwLGB6O8
dVN5hHMNW6fxeYkztYYAPW9OD+ZXOwShG/VIfxwWwko+ill764IsxOyzZwke1NxE/b0rl+LoA9/f
01nCBLsyeqIZvPLb39+038e46O7ENlHvfK1kPhrqekIEaAGVfn+IN18O3j/Bw+H1cP94OfzE66UB
foP8BV6EVjcOgHKolnd9/CXSaLVAFEAKJKm1Qk3R9+Rzf9Ta+fPTM3Xdpo7K90ew6mUDwrKr1tRK
QsVDMceVlAogskjrK5jjUAIqv1i9f9F/PjvGA2jmM5kawr389vB76N5YmfUuh/NytJzx7EbC/WA+
+fNdJJ/Xw+RGfQfT2yXj0w/xU4I6rrGUAbdqKkzdZdVd4euK/3oqwT1DQhioJPGLcfv6VfSbmDyl
0St3TG3YRbXmSPLbfSWTx/dv2xuPSbgWhFueFTOXNXewfut1O1WemjhSy90UY5XJnjQPuWVaLOM6
OLw/kvFns5FL+m2oi+mCg6oT5A5DtUSPAA23wkXeY99ZDBin13VXTA+jTWPapggqV7VFiU+XdfCV
WGRtrSZDoYB1C4wmnKVzaVIFy60pPdheUh0UevE9qqrpOsjYDFp1QaJ6SMmYzZVaZ4ZK1AEaz3Dq
y5Yy1tg62ZKzNhZcsAQfXKh1QVCka0wrk+K+zgcwR0hezM1A4zUyOVvuaROpz35e6CfReZ/AwsRP
+TTbYTLwGzILvsohDTduivYI+ejecfJ1jAx8KWrU7kb7AIUcAhUWH2J0PlW9dw3AZQKEQ6JWk/YU
HWI0m4FMsN2HPbnvsjPcg5Zo7XKAP7ujwdWvlPIMfF6Ev3COd69SCy1Dkvo4TZivV6QGLSc3xBNA
d9Hnbhkam0fI6M9u0BcfLFpvvGskswoUHKxZrPsX7xpYVtx+cuS+JFpz1UGw3vPUB8gckPJne1C/
e/+V+7PzC3EA3jamVUM3/cvOb11a+CCqvMSvoaw9RZd8XZNLRFRMpbaBF6qriPrLvRWDunp/5Dcm
CtrauuMYaHH+FF/gwO+0qHWKHWfd8Uvn9OJbTdH3nkTM5OX9od64SLq8zEYcePjnsodOc4RN59gW
u7yTlEY7QSWfcjAYiqSQe2D2ZGs3dNnGRW9QuXt/8Deuk32VCft0BsnSbH49fbhpiL6yLIodrJsY
aV5xHw4h/d4Er+rfjgR3ju8J1bnuQo+bX67fJioOgk1YiiTbGZ73eRwJ7DI8ABMyM82/fk3ZbiCY
QhiFDOMPIHbVgKoKAbXRXIT5NTlUX8zkpu9tB0KW8+PvLwt3z0zTE7SSLpcteFeE4WSI9umtm2T7
jEBW+5HCboPp+KP8yz8/QEsHHcvCRdI5Q17sT2saxAQ55FyZZt1Hpva5nrwfsNvuw975YA8yf8uv
96cMhT7H4dKY8y8psrkZxWOh0Y01K1IRKZj4hBIs3Awh8VR0yBZxRbx/J98ekcwyZGzzR3e5vFiV
62H3Sne16A6pXz2Vo7g3ZQpHiMgNsGrG35HhmeYtnY23+WvXwYgXb6TdcO5QmOd2WtsexjnwyEpv
Ykf/YJg/NzbzMGhkgM+z+7gkwsNTIeeZH41U3dDuNSBTezxr2vr9u/fnLMIo6MdnJCMcY+/iQ8Zt
BTs7ERjVTY61HPeWWdL+dAvnnNSKrpo3AVwrP5glL5np/9xCJg4XNDQEAedi1CCflI/+Jd359kgp
LMPwsyyqFFCNT6tuIvcRroSPShafZBotEftiV250d6uGOtxnNJM2PdsikifrT4AbCc+rKjYH87ag
xs90RBvjPPhG7+xCpMEf/PZvPhhigHnjhOdblw+GvmSUUd7MdpSoQJmMfnLQBood7z+YP2dYHgy6
StcXPjbUy282t2qWkbDMdoVyye8ru52einvPVR/tWt74YG3fYW/LPIQ39uJR2G5mFlVdMBENlUk3
O4j2g6MPm/ev5q0ZyGEL4OEWBl9/qRGdEt0Y0A+nKAigsncuy9Rgt9Dcm+y5S6y/30VzZkQmypIB
vgZExetFg/Akp0N1kXJ2DH7M907GzjmXwef3r+qtjwf4BOHv3EEu7OLeDU2Karzk48li27tNR0Gd
PbB/UHEtNzK0ve99RlIKKpbmg6XqrTkPIanFvhon1x+HHuonemRaXboLQ+NGFdrTlISbKnmsMKcz
XX8w2lsvPMcektctTpZ/qAUzrtF1SEzbVWGVbnMI0efeSLTV+zfzV3j25dLBTXRh0wsTmfPFvOq3
xoCNs053Xtvrj3Gkw4RBcQxEB4wbBXq3f8CMVpKSqrobwP4p/h7X3EYewq5prBy6S0m1EmR2rLPe
oynbkqr7wWIj3rzzLidsvkyT7JiLRy6DRgdrlrPaDBa1QlU/CeWXMJkxJ8Wu97nF9r10ycW8ygrs
j2nfNWTolt8i2rrkw6tDhWVuTxUJ+tmIkdmPuI73b+Qb3xqNLbagrgt8hf3h65c/c/kd4oHtNnSP
H9Uk1EavUFQFGU3sERbMe5LpN26H+CU0tGfFKrvu12MZYoQ87Cm29oH4oVNwgCahPxGRXezgFiWk
ezrqgx3GGx+dEJTt2dGwYv2hb+4kWC4ZllxeYn+J4lBbGrTuKWZKkLXGWD/Usq9XtGS73d9fKw5r
QhXZ2Qjzcqa0NB/NkdeUO85qJ+DWBDDK7IwsOSSvJQTJDQTm/RHfepJs2Yi6MQSnX+viSfKt9Kqx
SPTTyDVZjqKjNQlb5dzXPnmwDgfp98d7Y83hAtlDAYBHuHoZb58HWJbjkls7dCESbkv2K70u65WJ
LO5/MhSQekJT2DB6l4to5VqxIkWHNHG/LG7tDESUdJVzjFshPpi+3npHiWTl9SQTaa4Hv35HO3Qx
xURlYNfk7X0blS+2Xd9DdZQLOHJnwCzqrw9HTGCYLgwbXBHFlYvHJgYK7kYzFbvJwBOou/0n2cpV
NeNh339eb0zMaIt1MCdUnrFxzM/zt7NRNfXIQAKOgFlofwbru/Wm+v79IWyTn3ExK78a43JW1hIs
dRZjoOoV4Orj6tDYjf3JaAHdB1kPfzPU+4XdSyzJThI+lL10UQzQsGk9zFO9aJFEFeQXlqBkQPMI
scYDSkykqeRhsqzobPjwTosRBGhQ6cU2b1BocLqF4tGFMK9tD7U2EMBbfGwI9hJ6eJ8mP0dxUYgm
3ZR5I7c6UU2wpdGP3SSZzu6wjIHWprG8iQY32grZjPsMO+OpM6P8ugN1sPNS/z4u02bJHU7hZ1A3
XUSohXYolIBJ9FO1Ji/WRjGY9lelhVO+B0e4ef/2vvVusoq7gvfEpE9x8W46dVMrwguLHVrBp3pQ
Tx6+R7IRNyYe1kCD2fb+eG994ey52exRvkcZfzEepsOiNsORfMo6mmtOp95I970qPti8/lnyg6KN
fWKuZVKm8y+GsYY0Mv8Pe2eyHDeSZdEfaqRhdmAbcwSDU1AURW1glEjBMQ8OwAF8fR8os6qVTLVk
ta9NVVoqqQhicH/+3r3ntmNYHlCS3td10iIcCr422SOTqGum0pCF7M9xW/7myOT8/HPp0nJFOVy/
L8jCumiKWnv0RKpp/iRHYoDgCBv3qN3NfMvgnDMOKFBod9nQbPISpZDRlyzkjT0Q64okKtXG0TF7
Y2cBFVtHqMN44Oo9xg/GWGH6xbMGDuojeqBMzNi/O8un9wJKILZgi5M5tA5mr8FbmpKp1M11vE35
Ppsur98Qflt3aZDP+xpY5w5HF/++mL21VF26FQawjsbxfncrfnbHfYdnjGwqFgpruWQ/rBHksXtE
IA4lzJcXLNSLiZ0IBoDMv3myfrYW/fA57wujoR6KvAohlQRebq5L+g1Ee8rtrx/fn22IIEI5rcKV
s/xg+RI//DJmY9dVgzH/wNApWE+EQXMYf6oyibBWTb8xnf30w5bYHQpf3G3vDxF+y2JU5rwrhvQL
TqLzfiAjFxkYgsou+c3l+9lC4NP2Z7fAsveP4jefJsdPkVLgu27vbSX8NbniT9h637oE85b0f3Ml
rZ89F4JTEgdYvFTi/ZxmVnXO9aVOS8ecFKjZtk7B3OqjTS9+UzmGPLh102FfDp1LQhzkYYpRNsdV
AjMqDrJdCBToUeALQKMdEXz5m+vx06/Hgkgbif5t+H5h1GOkjExS5uimfnPC+KO0h4fcYZj86yfq
p5+DZRW1O+61fxQHajAmWSPKOXASrenmdC/lZOhN1be/2Uh/VrbSnMK9Rugk+VTv3kNHh8i4EWAd
OoTjUqFz0+V9W3mnNLBu86r5UOThbxoVP3uAf/jI9wVrOgMgqjyzOBh63Md99RbC4Ykj/9RWw2/O
HM7Pnl9OpAzJKB85C787F3U6cOt5FAXLjD197mT9TUOcWcPDAfxukeRi1EayLliRt0RUIzg2rEWe
1aL8geDz5NJUeYqgZB96G9ky1hbMBrJrH6ArQ0ko8xy6iwp2o9DBx8Bj1Vz5GP5XhaFGSIhLa7Oy
v5naRtMO0GqsTVzY/Q2exHrbUfIlwaABoUPW7YvJfqhRXrLZE7zx66fpZ1chXJy6tDh4bt8PYPO8
VsSY1lR+9XycYbCuOtN98mrvip4pAdBgPX79gT+7xYs9A8egoNn6/rLXqRVPDcXQIWlCgNh130KH
5PS7cUA+RiDJEab++hN/8iuyry9u4xAjzj9Ol6E/BQUcofyQhfGCx578a2KbZ9CIlXpKW2s+oEP6
8uvP/K7XeFeEor2xuai8ohxt3z1dsQFShbiA4uAXc7iWuvcfXGkNa7KHCd+rcqId7AIwhotk67tO
OVjiHop+7rbAw8K9oTWS2d98qX+O+1xUCXR9llVb/OPsG4/eDDOBN1rNEXo2Bz4TqjRnp6J2IUr5
kFR8D/mUl2/DuJXriZkM8mvX2vz6i3zP0Hx/dfCFI8ewOOa471uFJtIIH7Y6eN4ydRiNLOLmxMnn
ewSWhJBwu8SxS5Ek4rMACwhjd2sZBXNUUhWHO+1oczdNkflJuhTedjebnyiLS6g2PFLYJrIdyh5v
jy73bUKRyZI9bF0/lVsEg+6mBed4kH4jtqPsxSaIr+wqcx4yYldueW1xogCOn59k0Ien3BTPJiTt
3xzMf7KGs2UGeNDFMqF/3zii3ZbmiswNeCbZ+CDx5xKLBYUssQy5+/W1/tlHob5Ea4AbnW3jXQHC
0KlpimVbCivYFXUTLJaesSYRXebx068/6/t9e39fl+6vw+mVbfD98Z8go7zXRcLhYPCiYNUxMMbx
MbvWPqqrYVPCB72yKjO660Zb39i2Ed/bS9KF6+T1vi7N9vj9C/03Put3+AbeUxbef/fF/hHOd3jR
L0nyN37Dnz/yF7/B8tw/cCAzzGEIx+HLt//Nb6CP9YftLm8uIgzWcIdV5i+Ksm0DWLYofuA0uOjF
A0qGvyjKFlF9ZkhmBfZmzo4oOP4jgMPfa5OF2xAwKudr+SbDLTdYnvofy2pyVGcQxvaDUjVws3ou
sGsNFt8TyyUR7LUbt/cSIePXWmT2Bykz40JKw7QvXWOq13kSeOtcIRxfmXQENgYMrA5K49YbBxST
380UcL3teGUMVQJOhxdmoQYRdy/HbNe7tr2F7RmebcMc71Bn6k2SZtBb8edd5hSHURgDhJWW0b+V
szFzTne1e2uQanA7lnnCkE91+iWM6+lFOBKoQiy5bGsZD1ik2qzFApebDc5Ro/7S2zJ9gc073Rk0
7Bkmp9Mz7KZ2TdZfJhh2zd3b0MZwT+vcPcYoaICV+vdEudBRqHJlPy7xWdnv1nCegB/aLN9vgc8S
zl01F894sGw2P9yCgkZIakTKf5hbB0ef07Nz2GPro+gdYaA5Nr6KFYih8K4StX0uqXQShOVB5a2T
zCSGR+JCZrJdHcO5HxCM4Oqwe7d6tZLMeCobT13khADMS9L0uvc6S66+75FkEwX7WFI29MqpbvFm
PHY58nqv1mfQs/YHW9p7IcPXtPGb32zrYEbe/dIuTXTuBAUMDSyCqP/+S9cUknFk1uUDBOXo2Vru
Po1d6xMN2PHOECxgfYprrUh1t3UlMRzUe928U5gar8d+NL/UmcVlCD093sYlvjJdOd5DNPFPDRm4
b5wWravYsPUtmgzr7MQNTaQg+hi7o010OZlTWanxlmW5eUgIntxLozX22eD4m6lqu+1sFjzTTmcO
V+bsvJZ+f0ZfZx26PvIOU9CSCO7CAaTZnm1HD5O9SVzTzkue85qhINxM/TWROH7yztFfa7xyRzHl
7aHtMMxGkmSPeuh3XaLHCy9ldiMGg5cJ4cYhc17NIklpTEStrzZZOntXATbudUJ8S79J8K+sKkFh
Y84tgU8JMVeiLCGw4tNrVl2ZpNdwFpvzFOT204Sp8C3IyWMAc0roEb4v5HnjLKxdKZU6hGOdXOVd
Z15HhHLeBaU1XHtEPnQrGxMP0hk5pweYa2m4nl2sk0bS4czsLC6ovaSHgUE6aG95Nw2cd8WgKeel
wm4SZzHMN/yCJr3J3xw4vL+vWczfQVggMqCjwSyGNuvSt/zhhbFjyAPxIIyL7Ex80YvnzbAU3tKR
6rcVPdtguDw7LYYDLOXzWnW40daunuRrWlfjTe3b0anpzOZJNC6QR5mbe7Q6n8bQzTYMXwt4g/wt
2dAiYEgHrMQ59/5cRfhMzC6et8qjSU7Mj30ZTYJWVmLiV52AJF1DgU3WLFfTboD0sSyoVXYCJtdZ
W6+Db5qYPaDidBzwzWFYv//+2NZpA9hwcam2jWedrbqKvlV5YH4KcBg/hRA6n0pjbm4SlbQQ3mrs
Jhsc08mX0sz2TdWCyepHSKQrp+/9vTvNmdhmgQxuA3r40/aH/e3uzyLkRyDP94PFD7UJlx9SFpnu
AXOmpRRaXu0fLr9uLEViShtd7LaGt98BJ1pNbWM8pHPIb2ClNnFFjTI+pFOCqdSjj1Bfw4+WNKnN
hO0FkgJXxoZSdYKUVb9kg49UKSRbIl7X2Pueyf/ilzEx1x+bhIbcf/4LUL7ztZjhOcwc3z0/Jfj8
1pKxuOQ+p4Qxtcabpo6BP/oREDhVss5EjWa9QIVIK3kx9vpBWb+YkeldWdqPvvHuUeLbU/Xi0Nk7
+3rMTtLGDbBr8iD6kIumiFayjLFC//q7f9+P3118V7iCQZTNKQyO/ruLX7RJO7vau1Q9Hs6VVir6
xtMcBYdWtflH3HzzdTqq8TYXizuxCPgN7LL0j0GdDKdq8RBrFHl0xBdY9OIW7vwi3Ifa7fAxNX15
y8wkOZPjgqUXLoW96pRW3wa2CW5RAv8LItPRnGdc9CTTkwnv6gxL8iAAKaZED4w2yXFd30dPtrRA
ywRGcALObW8jTjG7XDlMq3M5Prd+Oe9bPUSEmEjka9g2g3Vn2+Ob9d1taUNvhqJW29Z2dupw51TZ
Fwsqv5JOCUYlq+tj7jI3KBdzMzXBePf91YtCI35tI0MOW5/wgbueIDJ8lq19IYeGzMGCifI6tBv5
atZq3qWmjJ558oY3N2esMPHtjznJBqc+Kedrl4jfZIUpxCaQrDVXk11kH8x6Ge24jZ9gs0i/OlVR
HZtYjscMsd26XRLWgKXaZzmSC4XGYrxJLYJvfvMgUCRyp//2JDDUomawyFj/Xg6+KxtYq4te0cu+
EG+EXWMyecFW39fmXI9kS0XYMgVO/2QlZxnvKMXqF58jHnmarEn4xUgeMBqxkTk+iSZhKraaCjPJ
1oORcnSL43LXNQRNcOoTmFi1mT+y/HdfbFKT3vpEuMYGbUkhNkpC79+XlGPXQ9l5W8xMKHtGt3Ty
Ve7kUb7LragivmIuIMXHxriZ5locRxf6K7RhAKg0cPO1YSf7xWd+z3F70hvVm/1r47Gt8HzJDfEU
zCatWWGOxCEv8mQpOZf7Coeje1Ij8ZFGRjrlaCfzNnSmJ6uuy41TBQ68gEkWK7Kbyj2NCx7WFLvX
GjyR+IoGq9i0w5Cd6FSZhxkQpUF209zsZ/K3qmsbK0K4rvtMfmQfSD4qgLA51nvtBKsqKdInRX8R
t2fW+PEBsa05rguH1WClQNC8GpxaL8aglwKnHauTGYxsVaqAij4PpIc6Eh0MQZaFya+bseTlleJC
MZ/kn4EysG1P0p6jdQDnwN3ks4XYElnTEac2u85spc4XIE7JtI6BomRXBgZ4yp9wuo9pHaOmihvz
C7151tWuoUkysbKba6OECRB7OjtNPAjkKGoSRQE0I1NA2+x8wqeHfnQy4ZSlJTncKwux+6Wltjx0
BhGxgDnm+ZvtZ8ExANC8haCLQy8gIY+JZzvrLRJcQAHKTwClt0QE6dbgKUwaqkwAiO2mC72MRKA6
MjeJM+ffBGPSrmpy8AaUrdFKZ6Ikgy0rboQo5B0IH71mMyAOSmHluf++ov73ZPu7ky2bCJvH/3+y
Pb6+yOpvB9s/f+JfB1sL/CDAbeZLLopZjrH/d7C1lnwgh6MvddrfuIThHwjkOebAHwPjxhv272Ot
a5FAj5SKY+2ynnEa/k+OtX+aGH5cHZe/AfUXskaHpfMfio3MipreE5F/A4QFm0BUjs1VKSZS0ozA
mjwRs1HhgyCP1gz9/GFOai/8AhfuTVaz9+CKzPHWVuV8QDc3PmXCSK48B64ItJiA5mpd+gHMzhn6
ysZw5qm7GLkdN6S1YiN6NEtAGqtySHKnuAKVofaEfKbpjbBlSKoqJcIuUbI8FtHE4pf2zbqYLEii
NAg3aDS8nUzY/rdEStxngO5J5DA1sAunJqa+t7v95A/NyQ5b/Tpb+We36Ah/DJX5nOtK7M06qT+3
RWbC5S0wGDjqBa4Vr+YYSMALwm7l1TzJ8WDWlbvjRhk3BAJEMN/FsJNmQP21bkNq7BYtU49/bnE7
Y0a0E53eEmVhPw3TeHZ7vJhWMtZrhVrrMqklNBXW9oZsjSeCbMLH0Rsnjuijs6/t8GkcA387mFAL
nKG457zbHNy+tW/aouCkR14xIp4kORdDpRHNyeQ6NPKXsGs8KmgsnV7tZ1cNAOJ9XhkDDFIRHafI
c3ao8PK3Ik8oIBimvC2Fa8PS06L/t5O3vrfbbaiT8RNDcV2u4iQFb1sH8bop8uCzbffZ1hMp7Jug
eiqS4qkx+OiyqWfM53p4jjrD21JoV1s3SwTwFbjFK6HLAS4EWDQLXnZYPIh5dP1VZMr6uDyRj82g
/F0Az3aJ/cizg7B7ZldSiI5vP4hNaRDRh2zB8adNnY+6X/mZFV/czMrupknNt5GW5lqiWzlLxyZu
JjFHj09xKlK0hbt305xyuSDW50H7Kj97RT2d5eQ715D/UozJkb7TbdPuSqXGr90y6VtxmoKFnhn1
N4KH0p41n1ZiIVJ9JsUxOYxeqc5dBL5gNfo6fpV2bqxhs3kHaZHeDd2gFrhdQwk/oRPmjS4nmMot
QOBVWy6ZAo2PATsOVP8RCnGv4TNM9o6YqAZOgSmSjR1LbMvSJjvEKKBUE5sUXg1FAcW4q5GYrAl9
BNWgx3PS8KVE46M1IevqMW4F4UhDZstvFfHeWMDz8CAQ5Z9bz3j1Z89kF5UpmHE64SunNTRwd8jN
a6d26p1IzfCJzOpshUX6CkRJclcEUNQQzZhfoAPkOzux/K9ZE80UiQXRTv5AsA0bFgRwq9OfGHU6
dIsisUESHu16sMTxusz0dFVhruzWAVH0p8DPdL0pKDq3U2/Pd8Jzq+3cEN7n++OCv3bso7Kz9pKb
Hs30XPcfPQleISEFgXSViM1QhDEBSLUzQXkKAyIk4JABmaY5zDkpVGu2wGY1g+PdWvOQ7scuIppL
B/PjMOItHjiT7aQHOkCG4Dnazo2uZVC2d77fAFYO2g90gvxL6PSHtnTmW02oIERucfJ6XmsQbjZA
6Kgg/1P71V1aMEqztAVCLaiD6SFjPHpdqIGGkN2knxPTaujzke/ba4bGwQR77FjSoH8Y08ZeYwBe
OwzhrommJGW30vex27TnCazymsXTvFE9t5skcGTfBSE9g9mEG1gU5nFurFcLy8VNjWLraFuDfSxU
768SC8s9xm7c/dzkfWtHchMlNbr4eoqoyZ3ugRzW6Q0YRb2eDTExkCJzU0xNQQsQzzlnZVuurYRI
KwSS9SYhpYnT5dwRxNCPj9jy3V1T4zr3g8G/Nkdc5yjh9DGMpd5EWUiOSGUyBa81VeqIZ6p1gd4S
QOb5z2yC8wGSqPFmpY1BpIh0mPa4/bc0MojS8pLqApnMWtcIi6hxzJd4LuJtA0l8A+B+2AeDMjg5
Uaw/c6zozm2RXxY3ykmGfrl22ra+svOYuDnc0zsNYOTOtJLwVsnF5UAzat66MY7SwsWXaDsQ4sEW
DpteSPcNrc+w1WL8Sp4EhzXWzHwVZVquQT8ZZ2kAUcWSrp/qEZqTa9XzxQ90uOmcyn/uA8m74fgY
7j0Y+HQSR2Z9vcGCFcMF9xL3c5YPSGxEk9xYeNb2s1lZL7qIXaLY50cSRqGa6ck+eAOGQzD+kfcA
mH/c1OYcHDlYXmbTOlI9cC5oiR/cZubEDS6xzW/AxN3rOoufjBEUTNoXajX5pbxj1AP7F+KN/mjG
fnMKnUacYmRTBJJkUXhg3TTo9Zhnouacyzz3d32cdKsGVdhVzwUDqdj3dCXs4oR1acUrwbEltMqz
P8fyGAbGJZtCHjXdVsHKcRbXcRkHh2T0+10cdPlWOT0EpCA6pyTM7itf9VTiaQDhCCo+rjP3yAsl
d33BeSjuepA5Y95AhYkK6u2W5VtH+kUmJgGBg+lfzYMSXy2R519ayOI3nmrvlVN4D3PgPpqTq27w
7DVkozri2HbGzBhOYJr0xPCo4I2cPL9YohK6o0wFzYssqfbDMmHrZyamq9GI1QlIVr91k9i9qLis
7mbOUxvYRt6wStN7K67tZ0OXkD3ZlWkeWdHwZEGyOuTz4J2LOknB0UCbc1LyEmyTgGL340iEIQCz
It8mJfhYAcnuQxjE9b7vgua2Djr4VKp2dmYTvQVZzBIIbGEfKFwcmnDig6ry+SxdMBe1l8WfBlyv
K6GGalPPebMhinD+5jX5B9hZRHCQ2PWQRXyFzsq6Nd9vWvmpcz2wqm5raX2OFAlPReXKW9p60MDo
vzH9O0+R5T7m4JxODdTOrYvkD36YDHfJmEWf234a9yTPtZ8JMiXlNuxDcHaIwIRG45f76vOSSwSQ
nUynmDTbbGFo5r18MXpv2rSTY65EkAIZCacVZrj8auyuwLi58FCqYrhx8yomlYbQDwYR+WNq+OUD
RVV2VTYBW71ncSBKdAYnu6o6i2FxXN/kzI8LHIpg9s32Wjugi8rRM4DuucXOlHaM3ZhcktZO+0NM
sCxh3jr17xqvHo/E/5HMHqAyndLUW0Ng/Kws1lrAzF6919qab2st0Kx5rXUCFF/uvECPL30QBflK
NXDrIxhLEF3yGC6MPzXuxoME+LXMZP3Zn0gsp8x9KeIw2vBFvoFsbHYpxDWE76UBtk+ZwbpIM+NA
SzDz16LJihSjflZe16OdrZ3M9bd6KGhGGG78GnXwL12IYGxpftutsAiNlyxLb6l7112yyDdtf96Z
TDm3s46sE5S/GPko1aZklHAg7cr8xnTWW3XYr1Z9pysyr7p4ayUclik92q3Ks3tPzJmDQGwiHRrZ
/rop4Yya3OrPlaXiA6f6aCtI02IkPin6swo6aywNtWl0TkxTIyLxCVBtG+6sXoC1ns17UbMhITON
0xtLd9bXsRb5LbkcLAiDna+dKLN3UTlDIHsIxqhPo01ExGX1NemLAZhUUeagPcQos8w9RV6QZFfd
GITVBz0NXLWqex0NGGRhSaW8Slvfmp14lVsCoQNi940HElBsJhmXG6OLAAXBoB7fap8mg8ZqBWBR
eZ/4meqzEetotzDEjsBTYcFYQzBuTBUkp34Imuum5r+ulF89O7x50O5IRh1J1SJbo9n0pEjvE+HV
1Squx5I+mgleNhmDo29bBDVoZpQ3ovc/zFLWBGx6/quL7iVazWKuryIv1FtvDttLW4BHS/2iPRlF
XdybWhLf4FRgcSoEHAfyWgjvoOmzoeqzNwDEAE9qtfSckoW2nbtbkXv2lVkq99SaTMIS3HLbgLbh
xvOngo6OweeZWV09jsngPoG29eh9JTUZ9soy7FVj5tma4L70QqOGMVneTc9kjN3GacBlhXk5Poya
8IYhjZNoiaMxid4A1ZJ2sBDxmY/NSsHg6FdRXNNFZxfGuTQ2/TFVNM9Wqi6L01ik6Yc4yLvnjtKT
M5MabqZyjh8Kb1a7YLnYUSHTvYFQNF55diFvjIiM0lVVggrz+9o8TqlqHqKoMLtNUvGf9hDZjjSn
ywvwyBbSjNV8bGXLVKwOmk9lFUOCFebZtel54ak04TzZy9S2DOFw9QO4wLCoHwY5qnITRXUprvtR
uvelbF7E3GJAR6cVw4+T5rwOtMm2n0Ch1VyQyL/N8il/Ss06fQxSHe2ZwVhweAihQQ0ydI8AjfTr
YNCuq+GTX6kirjd8o3KHk5uXkP4+Mn6f5KcVRw9qHei5RFZJT3+Zqfqo+A0EKACDprtGBJkEcpUn
lzYOqcSamZbxkPb2FuKrtbXx/B01XLCjBPtz9uSQHGH0iJvc4+QgRp+HyTS+5EE1P8oYfNyKZAJ+
OWdi0TC9bHrKWCpsnnxNwlIq5ltjquYNEKxo39lDfimXOsmZea5opcPcgk90iuwsWddUvsxhwupQ
ppGFZ96KK86fSyFree3ZW9h3SWl6ywoWb8Op0XCXyD8smk8VMrjiFhyPcrY5cn/nurHYBVYD0Tmk
MElfLUp5159fyS8w9R0stvTgywolDsj+6akrx3r8MGsjZX81Og683V1vKsYX2x6wlcAuhKxaX3FJ
2iDYgYWTpPoqq+qz1f8U7qCk2xnjzRyP+8gQmBzyYvyN/Mt6P3cLFu+rh1KVqozuzns/dt2MOgWN
r29iQ3kbEEdyZQH8EmNxNIJgE8Wf7cLZD6l9cjJvZ7jtzpPWNhAg9HpmZlW35Vfdg6gjOSfZ/9Cb
+slU6p06B8o73415DhHPwgcI8k6dU1hDU5oRWpi6bm9ETa1ICPTvpI4/+xALu4XAco+/8P0F8NJu
5NA76JvENpnIcwQ28l0pqj8HVP9tSf62JYkI/Yfb/g+xzbF8TV7Kl783Jb//zF9NycD9A1AAMWnY
+WlNCm7gX2EpQUBYCqQYH0bDklxu80d/iW1oPQosVqBkBL5RH47Tv7uSjvhD8AfLj4WL8os0839F
xfz1TJIy8/9GS/Cg/H1mswCisFeRyIjr3w/Ql/99egdmTiazhFsCO3fcOE2ev3hwwWNwtqZdM6ih
DgWdOjGy7pkbrLOYsbMv2wJsUERKmAXYcxuZyfAqaM3dztFYEsmVwkmNwywGCdcbxWasom5XlHMJ
Hh7dAQZw+7ZNtN8xym6da3qGjMSztKCsVWGOh8EPHgSIm0s79sOtObwUVYvORsnsYzeY7XOVEbkK
SChnYJeZ9fhCP7AYAWkajHkMJ7ajDX4PaEJOJ2JCxv0m+0LIHhut0xaEkU12G20R9CTHjGaFwjkU
9qCqgH/sejOaqTdbO4C/SXSns0YCk1qrNEidfRMyuFqNMpJnJxVDsAWHkywcsdwnKpjcxa81mqXn
ChHATa8motOdXF3FodJfOeOUz0w0vZyc8Xi6ouBu7qc6jV/QtBC5ldrVihH/bugXaH7PwHpMAk3G
9ljdscpX+ImCkWzYCVoNYbRJdhM4xXjv5sQ5A6LeTKo6MrWAc9tk/Xooe+Qa7rTXdiLuFhGqvUqd
4usIk2vljEVwh2GZegwizYMzMRVMlFJb5AjOIZprKyeOm7MKQRFik05zf0XYVhIdZ2U1p2EmC3Jl
xh5jl8RrxDkwC7tct6hiPzpF3T/0bkZ/uLfI7u6zwfqUiCz61BkcDDDDkChVhsZZz+SQoQzxYcJO
JGhC8DvPsdU/5WBoGjIZivaso7a5osQevoW09VLq4s7INirnbDW4Zb6taWelm1KHHBIQCA/XuTG2
8OP9PntppjTfxmpsvH2cFGxpdqrVZyCYSLd11DSgbnAe3ZVIUq0DTfzkIuvMebLjIrkPZ49PQynU
PljEpe36RrpXFmBxE3xDJeFwdDHH/6re2N3QHDROyEssi3ztF+n4bJRxeyLUInyjFSXanW/SgFhZ
DnjErW6a8BKmPjxl0vAq41MaO/4dycuwcYcgMspVqObsKxQcjMa9tBmJmnOxISLBoj3MpI37mD3S
BpN3YkzVtbImeRKMd8OtVWl6s1Hp0gebwL3zuFYfAqdZ+FpdBYal4c+tKnavm8Htqy3bfH2TslEk
aqUL3nKIn4B5SXCLiSJYSECUSPUpJKuR/6tKK/4TkTSlPs2gcDTzc2nSl0KWo1BBHQpNixX9sRld
SDV2ppP0ZAra3r+zgjTb1K4A3eAk9G2R4DyMDLSHrSId4DmKOLRaeTTkG9EzMyDJ2YY5XSjvoe89
KKFTYnWk+07NWpZkv5EHPp47GvJ7t0m9larUkjU/UftEQ4YXhk5ey/tyiRRd3oWZmj+OkXaKs993
ZnonEjXnIaChuTcf3FnpAi6Y8EuPYOrGOOi+/QjqVt8bWRBmlJCOPjrtcAK1619XbOT7osvsTT4u
vinE+/dNFdjowohRqXDc0npU+b1uHRqrOh1Bn6bJLnLCfCuQMW4copAxDiTUd/KmSHk/im6R7yTn
IcWKnfA3OQa0YBE12zCxn32KVUxgxglg56pvmMMi1VP8NQapC41yP0pmYceI2cLa4rKA1g/UbWK6
z2Ffx+R2OLQR9GBcE2gccUpntZ5686m0uppTBCFq2fTaKkJLZq5h1JlXaWJ309oKFxC4ko+jI0ug
ydVHAozFkeSUrx53bDsm9sVEXbSJULXHTnvr6zS965ryE4Uvx6bpSiSTuSvM6mFIHPhYo+jW2pxo
uWnyOwlbJiGJpmdwgI2W0ZosoRsPqiGfXPrXpFuoU+uoK9JmSagOA9JBnYEplJpoL+IdMjcizOSp
jTHt8uvV8zOHC3Udjtrd+RqlJI/Rlc/dPptxa9Pm68uLOTbV3vBKY1Ei8TRRfN9MbUQmuSIGBsC4
V9830xReKME5CNCiy+8z2Lm3fti+ikqapyyJrau5CJstmRV0w2tvtJZltjGKVcDj90GY5K+itq1A
pHr2dk5UsYn9eLrJR5Cf02C1jzOcIhKW6aLZYXLvtUbDKwFQhGG/uilaIiJptRYPQx5F954dEQ1C
EssK5joB4NymMDL1JrMd+ZKP0QvIqOberoW+s8dwvEpa5Vz8JCwfel0Bq3b8k2I0BF+LR4cAgSdP
SQyFBv8j0zFao5OoNnYmvupxUJcAWcB67sdph+I03PVa5N98FZU3jM5VPyM07JBxo+VX7g1rjHFO
uwTQdSOL5uKhVds0osyuHEF0rBfZ9T4clfzqktxE+kel1Fpk/YWHML8Jidu8Sxdcr1/6YkswOzGL
lnknXOUSCJ0ikZsd5y6HtLAx+qm+9WBWeUPr0582sgfgtYQxdsJ+6jii7xR+URIlKQtg+9G+hCQv
yt2U2CCiPcffW3XLCGPww5On9HQowc4fCTdg8JjN/tHILf8v98N/6+Tf1smYyH5ZJ1f6XZH8/Qf+
KpJD8w+8EgLDyN8q5ND/gyYlR2WbDBgIX8vp5l8VsvOHR5kYLEAiAC7fvQ9/ydFd8w/HX2puSCtM
4ZefelcR/7JCfm/jhQoAPQ9rzaJtsoXjvNO3TUXXDaVIgpPZFOOVkaqaaFk7u4zYyl9J8p6POupc
0o/gf0NZnqLsxnGK9plEFMVCK5RxZ8XChMtQT8Od63TRx2zm9b5qknH8KjsmwMeqcRqA6dDGya5n
WLjrrSjcRmMuPk5ep+9xUjn0KqYiB9aPa/d1GCbvPDR98FGOFdLcOW8Z/3eBZU/0QGgBIvI9ypCO
Ba31fJuiv2WoS5YS6sHC8V9xz+VvpSmOMaDAmzQch/9l70yWIzeyLPpFKMPoALaBmBnBKUlmMjdu
zIGYZ8ABx9f3QZa6rER1Ka32vZGZTGIMCMDd33v3noshrHUfcyDHy3ZUjXwfnKW8iw11JeaTjUCj
431dpNO+uUhdP89xS0q27gl8dpwm3oSx17abbvbvGwavHPm10/Okx/N18TuL6GcUlO9+aRgPdZXR
w/YVYGNgUvIkYGbR9IbIm27QnroXNPE5CQcsGAQXYZV6w7gMVUDIfucpmbxauJvmyAnK4ND7HvDB
sEQvoa0kuePEcPLqEcJwOhXxAb9ecIYKqg5mDVBou5Sl+FQm8ZIeliop/I1GzDRvasseF7AZnHK2
lVuHP7RloiNAUw2xPSnUeMM+QNa6zNvzKPNsRRuLBQp9LUgJmMObVTvFRs1WtiGuPLh1Oa+z8UMW
elR+CX0UJdMxN8yeKkQGQxSmSKAiFwTLp7aYhrPlB0ZU2zMXJywIiDCaqrizaPmamyBeMnheuh6j
mDnLF7zjjBzAiwc3VlLT7IFqD2xXxn7IsVPIYRuXhFsUOP/uGI91UTqnLYo50TDLmGbG5Qheh/OQ
AUfbiGSO74Ohee95lRG35NKmWzA39fsU54W7cSbse0R2LcP3quPYcUTVWbxIkC4nJMjtDnVt5pyQ
nqi3hhDRezAkals3lbeH6w94IXNaZ2/VIYXXnFrT3TL0cfZCeJecFakoQVoXTI/RiB18S6WPk/aT
e8bw2ip+8Osi64tIzEm5tkj36IVfELnqOr01hV/K25hYpW1pQdK3gK3TTJ2QlGrLfo4D3kP2ZNEW
yye3n+PdVNE8igbLwnkuK6vZG7UklIgnNFLwrs56cPGVlXnJ400sA3L7CP/FtCHrjcCekNl5bzZl
1A6W3GdJrjeGPyCcRuBMEK1TbovcurGHkM60afnEFrmPdGvAgZveZWlciXKtM3e4TfVRzC3XfZxn
JpDKJVa5CjruQLdqzVvDq7XY9v3oMGWVzIayZTjbZQePE8zEyZnD6TI6C3M9dCeH1htH0nTLpb0R
fTuemcSUj9qq3GqT1sI7iKxCAxT2D0vCg5nX2fsSOM+4VjaiCPIfQVe720yIBNFg1j8Zo13cotIk
mrxqyfCZPetT5+asWgFzAuoSN9yY5PJFDBWSTTbFQaRsOpVqzO8ZDr2EbldE8cKDbdTOMRviR8F8
dFeiYYwIja6iLDWVt6H+RBa8CEaauVivdj09oapPtqbS4cmv3WVHNhczaBt+qlj5kSxP+Y6iwTuh
YShB+IScMWO3H68e59RdO2dM1+hvf3YK10X+ShRKknPumKEenf1x8J/osYw3zSQKaNtxz5rCMYW1
MvWk8d1c5pomRx4vd6SMceWqOLsnP7r4mdNmP9YYYY4jqJ3LZBmEM8Z9PO+lvYwRkH8ymRDdRwwI
2lvylNOD35XBTU6GOj53Dfg1VfsZuBwTpZZooV6RWedwUYiYS2iZLE5FyRgXXG3byXhQOYSF39NU
s4kEjgL/kILRjpDLVpfUS/q7rA9od5tIv1WVLxQitrkzSQTBaOqP+64Pyi9UI8F9MsRYC2J+/i8Z
yi3bGxnk5nN1Z6kx3Wqg9E+ocor3XrvDq2/F7ie/nauHtk3inabzvC+Qv1zVMgSnzHR7sgfpbOwg
9pHgBVBx/JS6DgqTpHfenJ5bGhfidJntFiu+1fTHmey1u7738ohQjJGnatKfYqsUAfogK70dVMjJ
nGLt0ns0RM3EyyKV9Tkzl4Als4jviHHOjikqYVQuox9schX4Ucyav3Uy1NioUJOFxMgm2Ze0jGh8
FvI5YX6XYEPw+q8c/9J8sxgqvdgq74+9LYk9Waz5WzmMeYRye3kiM8ZG4ZD5HfGiUJQ3fts/M8S3
LwtSpcsCxpZRlzBXZFSbPHpitD6hP7P3Sw3USxNEpiOhh+Rz0zb9vbMQLJX0NU0zFqb2yI4+vyU5
M2MncbGK4faZd8zMmf/Y7gLKfhzOXjc8DAQQZSv/2hqGL2Yr1sOtpoTJzS/aiIEhoIfp0s+YNiRU
oKEWIztRbjKnXeqEyV/F7H83WghqtKOg2TTmvPwIBiV25EZRBqPL9zeQ2ahwum6SmzjR42Eyy6dp
Ro1NTFe84yaVhNb0xXaELvHgrJ0kshnPY2w021Z0f6Dw/v98/LvzMfb0v5W2XuoRq8zHTvI//+p/
O8nBP1amAe0XCFXrsZbG9B+t5NBF+MoIgG6wANvDKe9fB2XH+QccWaJfRcAxOoQD8K9Wss0L4uNF
B4VjCYTof+fbdNZ5xr/pW2F1OXhYVtQOPWv/L6x14nSmsU6t7uRV0sf+nhnWo5kQ2BWotNnXbRYw
XG8Q7veGL59w8TGqLyt5NrpUnvvVpOAXOFdqU1SH/Jf5W1nYwoMgN56Chnx6P2k8Sn5zCCOLIvbO
qrB5ZasNak7i4sXFlbj7FUlHN06yFbsMZyvbV9s1sCKyYrObsJ+s0eAtx8CxGuff2MAoRz5cgdUZ
uxJMVswzQL4/99IzDoyqVthA6EPO95xXIUtoXFv2MKzfi8/9byXU7ydMXHHQDo5JLjSlDoyhD717
m8SgOc7z5jQZmH/muCCLBQchtrzfISw/TAnWd4LryDEUrW9o2R9N7QtLGBhxUVDqwD23swxdgEYO
gkw2/YTYwD3oJJOP//XXgyhJxDrRxSs4c519/ZurC0on7bmqL06jIEkOHCzdkJ4SzduO80qS/u/f
DdYjmBm8z+Iv5N44DKa0KjOUZebk5deqKxeibSld7sYifPr79/qYjbBeTzQQKw7FMWEkfPSazoh0
EgTR6alN5oLjXiJZgjHzQxcBWrFJUEPfjd1oXSb8NEfUU0OzS3tCcP7+c3yYHvIxVusiCl3ArvzT
/3DDFlbv63J0slMLQDvZzr0mBSmW8ikUDd3Gv3+zv95DnskbMmKCEA4g7gM2o2vDwhk6kZ0aa1ke
agyr28HgCW5ovSeodtYUO78iG+037/t/fUkgTaAShQB08RFNnsfZlMYC9GlFQE2zUfyakzPCdalS
9HB//x0/vJeLbZ2TfWgxoGMVxEb851vWTY3JUkmYnlKrjekEah+Fg9npm1hPzvPfv9eH9fbXe8H0
41Iy/HYB5v75vbJyEBiEuYcIkZ2sbS398lykjvqjp/UfZ4QrC+jf1vV/vo8jaLOwyHC72n9+H0IK
+k7Uc4qw0FPZlok7X8rVFScxhcE5SdOS9ASmDAhAUKXIHROP5Pr33/XDvbN+BupHFjoLIiuOjA/3
jtJWnrbewGdQayYRo3XCBhYjvkpHl+c6Djxwf47+zXr+6xJ++OqQ+/niBIiwh34kfKlYqHqRPrIP
skk+d+iHzlDH9G2TVcmhc5qKVCqDXEdEWCtwHh+iVqdJVPMP2istgAI6IedcVnTfTQOJJ4rmsyR3
4J+Gof/4C/1fn9PjhyEshtMBo+QPlyf3HDktvmEcMZeKb1qPbod8vWDoJwsBd7oi/JZmR2b4/s6o
p/yKQAzhiFNJeRrz2r0Jh1ASTRA4t6Ehen+P5rzOiIYLfXX4+1/yr3ftyulxcG0AiYHx/OGjmmHF
OIr4OAS3BHcyTg7mPMIWMOz+/n3++iSiiOAnA6IV8M+Pe2NqYLKVRp+e6glPc5iutskqr72bone9
T3//Xh+Xc27PgFF9YP9yPgIr/fCldACE0oVze8IyAP47kGpLgUKEJI8K9eJqIp4R6Fvj7JMgX8UH
UkiH31xYYgjWJ/HPt2vgMJeExcGhgI/z4TxQdI1h82TIoz9OnT75hc1iOoSz05zisVkeDEeY37zV
Dp6iAWSW3CSwsNI075ArlziJe3zs53Ac9T1lGobonpCxLmox2yDlzsvlWiRrWig6qselcOS7Yh70
Aj5zudJ/JLkvbDuxVpNEKZfEL6vOZMGlArQfvTEXn0RCavfADOuSVPiptxiDVpY8iaM6lrCCiipR
d2UHG7CQ2vy2GBzjetIIlk04V/Id57DXnCuoigtWpkaSbGK5/T7zk9Vn7q84ToOwUXNTtbb7loTS
+k6Yl/M80aAkN12qEi027sn3Qg3utC1xQSTou7Lkyhi2PLseS4vVqfQbYeYxmbix986QluCSiiR7
I6qkiU0HkFg8ooAV7mFyTQ5DlT/3PwIfqViVtf5r0E5d8Ejbg/uNpz/O93kd8vbMDo2HwO5ZO81+
9F8XhmXbGWzV1V//tvfIrYo19N1dm04YX/01ABiuj76yzxQvbasJqV4vrxTwJ+wqMR8ah9w3BLR+
kZxwOgrnbJtlcs3jsESUDYOj2fm/VqvR0jfdsKyRGNZsfK3qnDuyNmeclwU8beJBGq6dRgKKW9g0
kye0yO7nsTOx3NixWd07OXHg9Bl4nSlJk6sYmC8ysSNu14SySPpLp2NkVJBbNhjEvU8Mtp3noFIM
4Ax4ducSOMO3gjjtvUXf6S3zWgOpr9djbpdpuTx4kzFT4ubdfA88db5LtauSre9a6deCeIPTzPDo
BbyzS4zDeh+WUy3PwUgfitxAAOvbZbY4wFhlvewrVXAv+eWwXONJY42TlF4a0zi51aVnmCjwSs45
Y7ISGDK+AKGoBP2S4MgNtmPw2bwlBIpRfQfcvd5q2e4kXfbjiDXjlrmZ8SToAa4aCEJ1Y6Mg4S6A
qrWgTpg7d76rjaLdD5lvHeMJfxCp9V6kjbrDApukJzPoqpspprdJEzjdEq1nXi2HLOqxNQUhZp58
igd/V7urjEFU+VXzbpGUnn9XLv4hJ2Uc8bCcD2aaOa8ByowNTg4a3Jq+cT46W9OYF+LbbTuyRIWD
aWYeCKUS+SlX1X4JU3WXxpU+Z1a4J0HS2dNir3EuODTCDAbueTmFG9xo2bnIgy5CHlxstVr9dr0r
N4PnvnZ+71yRStx1M7JZrGPzVunAjdhwnL3Xps9CEiJE3rJ9A28sMsfci5qhmg55WJpRvoB7SRZT
bMMGUmMaJo99or+Fjf3WjGTYZ0bpbLWgj2kjPjoZZvClXYeRG+U0RaTngF1tbOyvpeOeF1JGNspO
bxORMhx1xZNS8qau/PjL0NjLLiFL85wUJQuwu56RSlvfitRxrsy82wcLi/nZUDgQlkVccr/VQYO3
PvORWayLSNz/pFfdHMlMx6BWSSXbjY6d7GzVLunY0oj9y+gVfKC6wJG6Udpenr3FdfbzVGBzGBSW
MrrO7R0HJTfZToL1IvexrYMuiJ8R+UyfdO1xfqh7LICbRi36CsnV2a0RVXs3x0aZlWl3mguBrB7O
Nm/KKZrAUfMx8Kbp0Z+03jnLOO7W/Yf+KkFg8DMJ5b7vByQXPk9acXINwP0bO6/xUWrOInkwsxdW
oo8ETjiWomqipUoyMeaJ0D82GaXPyP1HhoWu9uFiuodxUm4TdY1d3pEV/eIXCzauCTmjS3pLFsVI
pbLtAN8g23uZTWcXQv++ynLv3hxnokn9Mf48ZPF044zzdkjldM6wfKEewd/z1QEPITdeZfdppFgn
T1XYJWfaiuhF7AkM46JKbkxiOAdKhMJ4KHTn70rdIUCmw2mWtP9HtwreB1i/TEcqC2NY6fmfCbMO
l4PppQbKh4kpST1yHsN4e2yWJbydjVY8dFh4ImKYm8gYWh/PwBQCobHsYdNYY/ezsYNg10yZhs7i
XP3SNa+h7LBduaF1cT0cdVhKfDQbRfhQyBYci3SkQ/GfJS5tis56MlLsVNZQhGd+VLQvHgM2NmHG
PNgu3e/zYvYPPvqo09xW/TaoESkHgluABj7qFxl7h8lH1Cno7MGqTt3nHK3XPZ57BzGJlZ1k1tor
YCPdOsSotkpaB+V53NhhdRW0DyJZhvZ93BZwlFrfuYQx8qWOTOtP0mutbRlM9aEwl2ZfLH3wNg58
JRaaNlL9lDoROP0OYxL+gEOiKhtl2GThUYCy+lKZs3M7mkF9Zy64Fxik1mLTwCOodjonKwVRmyoO
RV75r14uaOLUbXxDeziokYK7xUkbof45UI5fGFaOD4NrYDQArKH6CPUZe7obTh2pY8q7pWJvDnnp
+xQAVn0uLA2lQA0ErGdlwcTRG+6Cfp6PTtsncGvC4FjOS3eaAoxzZFEFN3U7y2s2VsHBjVX5La9a
H4NXE7afXQaXeyGy/D30SqT3jd/UJ0Qj9JJwtb74ffO15KV3XVu7RRR6C9aKXi7qzWzcDM2T0WPm
bnA5sbmaQ9QmFWLsDM0c3qA0Mutsxy+e7vLS/j4ZIVY/RN8MC0On31XkoV79cKy/+QQEYPckxiII
2QNbMpkP2mM8BIlpuLdM1X/Lupw1GyRBiWcu7PJ4iJSLt8V7HsyRQPnvjNIDjFBuNSfviYFeakj7
IuHBHirKpMF4b0VCfLjX2Lfp5I3PBnnp39wuDV7jMewqYP44nLczZjiPbY9Rsw/hqSohDgtXnwly
DeNdKRQEJ9r4Zl5iuQwgqm6yltw05IxWxCkqvtW29iFMt3Q17FYyjS1mh081zEe3ysyrO6UF87KJ
PQMBpi6jYhxB0bM4JWAdsnY+WnKdiHZICbcD2SUsZxoLQ+BkNs5dAEYnL5zZRiy6Q9yXRcjq0y/G
UwqNgWR1JN0Nm8LBMdd4iyUl1JzaiAoDlUqF0fe97YL0K/nU3Mp0lMxrAsEMC7XdzUdSHuSL9mzn
zbAbA57EOF1kgLjHq5YM7z0vO7tz+GxVJMXbo9d9lY2bcpw0w6jt02cOxsC8pUAomLePwnmJY4KJ
9cLyCv+Um6p8Mb3KxKxmPPoKJEfmV0tk+sHeXQyk/xVjBWZu5WbmcIL7PUHNXnWMg6ix6fa7dRTO
6be8sJMqAtAt0AgONVvlah8y7P0opp8Doq8DtbwbtZ0d7nMUFFFeirPdl9ADyGUj2nck7BnPMBMd
Y+tLbmczm60b7ZW4PSyG7bxwUo/BgfiKfFOWujigW50/tQLLqj0G8TWr1LvRkFbeLrjPhVL2OaWx
u+vpZp3TDpx+aNIesGfygJ2mGw8NWKxv+cDsjRqfXYeD0BkVoovaN2335TQw2h3m7JJb8yHHnkdS
dDJHFNViO0BTm4RpQdmbxdHrcG2ZpQooTaBk4Qllg6jl/Wz15mYoMuLjh/7n0Bn1rlkZ2ZZIV1lt
+LXTRrnvyGW5GRp6B0tsnlCEPqC3eEuFu6+BjXFOIQK57M+l0b5O5XI3wulh6vIMK+3KkkvDiFnR
jeiW96yNX6wwfPTt6tBwmo6qDDaAmU6HJadJ6Q+AGzyzj5YuHrehYXnP9QoEMGv72xxaHKzgD26D
xD4VOM62oW3us7G5mROfdPJYfC8V3kS7pKuNYouKIJ7G8fPiLN9nfCcCV8q+hTYzRTrU8WegQTE+
ly7Iz27XoNUmqT2tU+dgLTvVkuSuZjjGQ3LxwEAEanxqgzbcJX36yXfi5OhPYQ5lSY1fDLsLdjPG
mqOihrmMY2ccOwzUPObaPHtO6n+B+VId0rIVmHoTaE1pK2iPTtlaTvghNK2aOenOTFcA2YJE4jIo
z+j2STk/Qq4KfzC418bZaAoaOps87APzYCt7cm6GoFyjmNpEzfeF3a2vZ7d59oa+REw0Liw5nGIm
nuHen/Km29DVdLGcmRlOQ+xzqBpyzkNH3yE9+3Zg6ptue6POWnLHaZqKfqLkBHsRdaMtX4M4l++9
FDyAvCsjBnimFCIAxooEBGNNWRRz25NLzfJCn2mdaaC/kK+/sjyl0VJjrLleWbqA6WKPewlaqa8G
1mrod1hzBt0K8zYzvFTtiBaj7Bh9liWy5J0IOgTVCZwK9TNbYAFmQlsX08qXvRV3ILty0DxxadDk
joGfPFq9NzCE7KhE4kWZ3zCBC+86JGotecOh1lHiNf1nknQ5OhQGYcuNBX2Ksz0vjdHTQOlLgb71
dAx30vKpr5DdfxVFaW/TjuPfxk2ae69Dfo844lQ1ZAksbPknOyemMe0deXYSj6ZAT5GP25cewTqp
+fV+qnGNna5Fd5ICIB11Ajob6EVffv0vMAPQiQrK/l9sQN/zlqMNJOutLwdqMDhJdAkCZ7qbFo49
BsUms56lEp/CnIuJOdaDeDG0+1+NYqAUjFFmYNpjTt+4KNMGu0uaAFMO+YhlAjpILEN1EKXXf67T
gS+QZrwi68jy0NN4uSeWx/pSjia/epUDc5TElZw6r5rv85nz7oIF7bjkIyzHRmtQ8ybfyy3phTce
ZV+rkgYYkc7aA0c1avtxLPxuq3I55Zgx6YrQvGQxwJwGdwNxbO0qj4hhaZYl9z/UrktYxw3RWEZ6
MIlIR9i+3IRd1yNfKUJIZ+wdiIGreKn3Qz5N7qUAB3jrWZN3U2cLE7LFo3klCZX7dd8Z0MD2hJUZ
HP/R4SK1XB6SoUfDoLBt8vkSJFxGRXcNNZG7PBTjek2KkSmbxb/yW823tQ9lStCkjFav/dWurOqA
XJMgtBHUmK8lip0V313X6bIXLnfA4Jq8dqjWFywy8Sm2oTKHiQpw4aMyH/wG3Hnlm1/Adi2gUNzu
5Ffrf60HrpYlZm5Yy/H1VfFCO710oYfB1YD2DLUAE9YATyXtue8Tg+M1lCc4W78aT1go5ftiuTSV
MkiTzsKLZrNRv9FKrBxExbZ6HuzZuoTWJM8qkfWbTCB4apnw6BgJj7DrjMwmp0GeZWPVb7nfD6ew
nQ0He4sqTIbkhbQeKQ74hhX879VqGeecgNcM2rBK7Qt1S/cZliz/Q4md8zzWXCbVw1yciNjgpMUH
t/s8+VEuZfPWBilvPY+9OmP2lCdQ9NyQY2D0b4tGN2LSkRta/i7ssN6y+H4bvV5BagQQ0AzN9wr3
EEoxiKi96uTZJETqMAySh33mCZSjDulYVOFh6NSwi2uhrw4t8GtTgqDrJk97RHwt1k2BYeeucoQ8
eyCy081A5eNtK5bDg+l4ND8YiwZbb70LpobWnNd4tBSAygNoCAZqwolMw7PwF/NbbGYgB+Hz1ADS
mvDg150ntzXVKbYZ1sfQ5UohejaeFgqCd182fOFwWO/BzsS3jY1XntPYhkQYIDQ+Gv6KCg18yr5A
JOpnIKiTcRdb85cej+/XWQUre4wDeUcrlfSShGMFOyNwyovVq+o2mYbxKTWn4EejXPme1nN4Vl5S
aGgy7ExuSrIJZCVcvvg8upMKCXLOxEop7NHoy61f0+DeFk36v0jK/xc6/EboYBOwxvDmPzO8rm+c
/96qH//umPvjj/7QOfjeKmbwTWYD7qpKMBls/aFz8MN/MN7wHJJ3ORVbNk3/P/TATvgPn8liwMl2
DZaBovkvmQOOuXXOaiGZ8F1/BV//N3rgdar2px47nk5m0agm8ODZ4uOErzLHrCuTHN5fbMGWlFiR
LqQN6+fSmlUUx573myH/XwYmuABp5tPt55NT535o6tM3SCBtCH2c56x7MCE1wfCZfmdW/cuQj6+0
ahYAHwuY/R8HbIPX03f1YHBpbNKHyZ7bh7zu0BL4brMzjanYWD0BbHhujMcegstvZpmICP5yXYGP
2+uML7D5jf8yZRw1y6X2B9xYKPVooCXLvvDZk4HWBsjLku6M1I8sA82c09o0dFnWLkZKjkfPOvaJ
RhCe9ppyjUinJOW4ZLkFB4opBz2Q8/8WtS5hMBXGohAHZmyUnuxZJIdA63cEXfmjkwV0AgHaHBPX
Y4X1AbqQL9l+kShoD+v4AMh1bGFkWeXa7Qa9zXI029l6EpjebztK4Cdqnvl+cEZ5BoTVvAVlmZpR
Xyv9jnuRDRvzy0sxVvrQZ3N1kZZBArxMAyuaarvCwGUSzpjq5hW1Cn84zWl46Vnvd8y25WOo6Gpv
Vd+Y9YlLVZVAFhm0RZIZsXNAoMbXNP3e3vlLaj/pWrO6znVy57VLRWhYiCyS3aDYNH7aPdSFQpar
/GmAMYDMrhfk1i/OnBKTVU5bhB3dOR/t9oHzGrzS0Z8PAkjQqR0WPo4zqJeMQuylzRbxiV8Hywva
jB20nCIaUbl+11iPohhdb5TC5npOBlm/jiZUO3BnlXkUU8gzNLGxOUMVXgTo7CMSRP0+jY1+Njv+
BNVs/1kgabzIOXYhmg7W00iT6nM2TNVlruvwUpbkf2zDrMW55pYTZhwBOQFySNHs+kZi9quUvaOl
lj82Igk3I2OSCKtl992V/GucI2pCKgnn6Ejzqd9U7thikuRxDoxBH0Q6FiccXs2t9ptpi5mGCqF3
qq7amXDOTk0fMGBbaCDDHp1BPsv8MUbAR7MuaW9RXUCiD2P1MzeBk1WgMEl2M00WDav+ms6teiGM
c7mGreKlQMUfmpJkBWvmG4eT0dzKfH3Yjda7M2JT0XHkuwg3C5npJWWksL0hIk4q9ZPpuD4gfHTv
YpdfQqowQFLc6C1INmiijCK5riha3+hSetCEZEazduYIyYhXykdhyvY73JPlWk2JfranEgpRzcNQ
dG2+pxc3/DAzYT2lbKhbpFbUKgbXFoCPeczG9VKvt2gBROKn7vj2S67B67cLv4Qran1AgajfO7jK
r0UMyBao+Otk9ACl0g6HQfBO4c3xKzVK1Mi9LO1T0ntfTdoPX8AIjy+xzb25sY08PdgmJYDrghiU
vqJ36DfM4j1uyvVINCf8UMI3BljJbnPXMCC4C4fJuxvB7zxVad+8jp6AR0Jbabf4lFyAu+qvTunp
m8wxvE9zsA4AjIxzV1BN9VvM0aQivAQAa9hhB/z15YKEhwDbofE466YatjMy7euE8e8zrc/8UYPQ
YSZC4A09X0uesTqWkZjM9DjU2FyiWc7pwYP1853IK5OfqUTkug6x2i8grcJLZmrf2eFGaW8HYceB
/TnIQysXr6qupuF72o3ua2pVZR4flbNU7jEdFqPaQZ6cxqtuJ+mdp9gZ3UdAKnrTurN+tgLqGdSj
mDgsb+7QGS1gj9Fb0TJBGcj0AT4WxuPqdqyZEwzcYWfXyO8Hs8eQYBaPhjfeumVT7oPE9x4WiqaN
59P77byYHrK8pWHC2IkEumNsL8mptPPnHqnVblyHIKOrv6UBE0lXjT/yxIbMUMXfkSgkwDRIK62s
sbmAKZp2hadmWqvx8MMCKb+L0x6QUSv3xQQniJSDcGvR948K34uJ2I7TW3dhAEdPVekIZuBZZMHZ
yPE5pEUL+qMBVXVCIgDWzJjph2FZ3pRpTmJeWRTvcYPAmWTItXffuzoK3epRY/PZ2aUR3mRJ3FwJ
kJxgF/LAtllp3aTAa3YjZCkEN/yQtqXMk0kL/1j6VDXN4ATYEQ10xau6XOGmPSSm30S2UZo34MnC
4xhbn5wSYb9AFXyxqtApdjbX/nvfTJOIvDY0lg16/lWqWwzqaDcpSgxrYmAr6cf0dOogG46neAot
OqyhoI0sV/Wv7GE+T+Mh9mL2PDbwALAh2xzelmGXVaJ9RKtobawh7/cxnYOZ/iTckjCYvwZIejZI
k+ebao5xQhZ5/hoasvYjMQtNLIGiz+QLyjo0ENCbletwQnTaB05ntC1H7DcnUvBsc6tZRBLM543d
bxqeq6tb9M0Nc9UFp71pn+yZUHTAiDxV/Y7Cqt1UxIFt6CZ750Z08/MyOVnUZcwwiEg9TsXWUUZN
I1gsbw2YwpOty+WpAasVR1YfEhnghadylPo+zZ1lq+TYnvOygaJsFyW3e642BS4WBmOO++D3BCDW
cs3EjrsJJ2oT7FtDkQC6jqwnDMNblJbZF1+ALAhMPe1dqYE5hcrYt0lR05YrHwoyIYCLmtMpTR2a
2q5S29iIw5ciiK1DkXLHgxRKToGa5QpWc681sEaGJ5PxiNgguLXaRZ9XkWjBlDxMGPWLrvzpxu1t
Ihf/Es6DLcgEmGj5AhvyGL8l+RUmuHWCr89EJk1Ed1PgwXodM1/D+PfAaNEAhTGQaKZ6UQYx+mdT
lmWxxQkpoCxlpoJiCMu/KY3uMFqF9wpPKmVgnqfZxcXJ/r10MsEIuncVEHELD5T3GirTPE5JjlXZ
rCsac8Zc5Xs/8dS3OrPqaCim9VzQtA/zPBRb0SqApIEq0xtjLuDeSO1nSM8BDJ06R3WXsO1rN+rw
6RZYvLz0OFeB7PGE1N6dtqF9LknVfLMbamNmjDpffxsKv/WIlGUO+9CqUsi8vrqENsP0oGqGHwFD
xIYkTwKe9mbes+E0rMLvpDzRbtCGfGyYpPIMIL+4+NJs5Db21nIzSTHyoCS+W+DKPRqYuvm6qQMj
L0/zYBuTUxqVHPIS0G9z820GFNPsEqLAb62F3VmPnAr/efhqU9t6yizd/2gyPwu2Ni4NzsnlmnU2
r1xfjqHi0wzKs4c+2rbVzlakOWSgTE/otKpL0S2QGs0eLUo9sRh3GWyKsmFssk28ns09LGvjsQIS
9pLaTnwXl5w0Kk80t/Hy61OE7RfHWBMBQBqsizLChvch40yShj7Hk7BtrXuWweqH0wgymgz0bOza
aHwEriW5KXH4AI5o9IF4iPEFDCC/ndUaQUWPvdOHuBT6xlToSJJRTds4Zi+vOWy90nIuo16vx98Q
bpc/zMWJcQzg09i1noJy1u+BbtID1ucaWUwa0vCc0GBoT0JBqhunOOVE9vwPe+exHTeSpeFXmRdA
HwQQcNv0hl4URXGDQxnCe4+nny9SXdNksoY6qnVvZmqmSkLCRMS9//3Nb2hwlnjfRMBSdmkaaWbQ
gJ6TvlC6QBGYhnqHyipe4s1Rxusq86ZNAW1gVZKqsvJC03mB/dbvYLsFG00Yz25cfhnywCSClmNK
s4Zg1ZVZcdnXhvza49l+Gc1mctT1zHwyZBKOl0TP5/2xDkMX6FMkK12CdmE9PG0zXuEu8CLrWhdh
ua7HjDpBpRZxcAMbj+Z0lCFVVF115DqqN2vITrvrA5g9GkgFJKdAt8hHkPgImg3fti2hXTdDAQ0a
jdYeZItaiSaFejBI+I9muPg5MrSMFXCqkcZ8rm7ztFLv0lPlUkIh5YGLLqQeEVUHBrvGbq68SnCG
uYg74GzU6dTqfdg/KFJlSIaNkT7VJpytQ5vOTn9R+UPAQ4oYyGtj05LcEyQ4Anel6adYfqFfgmFv
Ga2GjJsbyo2HwpeCIY1ZJnvHntNgj2VLtEL1xP/Dp5DyV3qD3GHpR7Zw+4VFpXP0kBv9cFK8WtkF
qaVqPYyVbVjIHQf4+61HPn4s6UdKKAf20kLDVnVJG6Pv6Hr4tF3ZfNFjSnygTGvZWJBulpkHtDnW
FMxuKMtvU9wlmzpqo23Xc6rpyTBjedJSyIUk6jy0Ufrk1NTtEIrKr+6QmhEGi4rnoJ6dlzCAP8yz
SqazQu2ujg1zL1iwtwmKra2fhNjEu1ab7lum3M8jrJ9niZqROitFuZSPvE+zdesbOgD3Yqp0nA8G
mi07zclTgZWEK7XAH2dsi6dW1dR56KVoIFuMd+Scjkx3sOrdCNyE93VDRhUOHuaCM8u5zcy6e9AF
VDKw0OIZ505wZkllWwq6lhVeaKy8Fq/BL0ZMI19VaXnFmMSBryDH4rn1cwzI3JaK1JeS8IbCmlkj
DaNlsRgF/xJPm+o7RnE8lQyT5YaqfIHp6rwjXbc6VGUFGmLAjluMntq6QvwtNtaE/IlRQ/WItNO9
EAPtbVOG3kWANP8QTQ5GpwEPrmbj2uY6XsyFm/cPBBjQVg1TtHVV542SvLzKEvpyJ6I9wTZ7fmHa
Q+hN5M7lV4SEN/3olN+Y+9Dm6BYSslxC6hrwIxOSvzTXVMGifvUoFYcG3SkfRkEa6MVkDjD+1VId
6WQ5SJIB30/8yq1q7DZjncW28jrH8qyP6EhV0xCNOo1TOMrqVs9r3kwRcwSc9kAce3Nf9djTMSFr
nuF7PdBPm8ygALS4u9SZjnMAVDv2oBqnzxDQmg08QAC6G09xPQGdptlM1e2p00a5mnIrDlpBQceK
DUy6x9Ex2qWSgyx1bfei821im1VbpiHb+tbKio4CoIdHrwAUohOmTQJneonp4UvtwjGaWW54Q2AU
Q7TBCAbhBqAGejkmd1Upx4yhUOJRH3IUdgUzo6rrAUVI0pgBVvUUOh53hMrRoHmeWYJELQN9+PA7
aal1yF4dA1gv5hNkoCSGdZ6xYoIxs66NxFaUcV0n1cbuGzhBpK6whyXV42yiIcXdYai+BzGdLjyj
6XOOxmXhG3W611RTC42KbY1OiomU6pDVaHLhNk4OT2SO+Jsygya7mtniTMHlT32zAx3jckzAzPIi
lBDKtJ+6PqsyxVGOVmnGIVU1xK7/+jShMmxKSUueF8K/00WaX5SFQQoTkWEXjJdx1hNgF4wdwTI6
VaMMaKnxJKLCBdVv2dw1o/lRpF7xRLYE+U965V0MDvtsMYQ8wtCCGq7npL4MSdKJdUPZusbwlBaR
2caF+p6rWm3DjV808JVTkCAvcqg1kpo/jgc99lEIse5DhTYOFUMg8j/i8km4fBJy7pofXcUAJBR+
cO1A/IV0qb4f/At3lJiAQDa34yvU4VRWuLhabYIkT+6yoad7hw62sh04VKezQbRAb0z9w2uHLZ9+
H/Cqx8Xk2gk0i6Ni8NyLyuMJV1Ni3MM7JswG97+lDc17L2lDlqEdi/sS2/9F1PEiPYC5/ZTq+cWM
W8+FhSPxPlPvIKRe+toQNVJu6rmgKBoEuxl8nYdpoDwpE3ARvUiNeyjUbLbsY49F45Zf0SUxHlOO
lycopm8Bi1yDUUOQ45YdjwAZJPIRDUh5mWCbTMpfVYzQXluKzJNytzVN0CfyrXKk2n3xlBoawOAA
VmdGPiVaS8Fi2tWwMgD1cC9WH89pmx0dngYdO/zaQgZf6KYmOFuG8hiDNET3X5uwR2mWP5cO1ZKG
snSCWNXzMHW2t7BnHSVQgb7odl9SW5t8axoeSiOu508IbrNon0urOgxlCnijtkpT56HU+NiTioQ7
dWor613cD9dmhYnDIqRVZU3WoIJ5y5zN8YS4Nyun++kozmjLT4fZiIsMJCmKP6Z25bcmqyk5KoyR
9nj6UjyWRBlC+H3qe4unhrDA3BtuyFLpE55Bm+pUof1QPVKVxHKBbQyst1QvPOqWzoqumOexyQ4M
8x+KwjeX3kQITt/xwic3mS8TAyjz9H+eFuaUxRwxGly77xZu2Xdo/OQ+n9vxZjTILMOvNIJWULCg
I1kdAsdikyGBNLiWpUPw8mwRL1XaM5Xw4EybsUleOjkXNgwHGocTQKcoXNKgIxhUFTCNFaUw5NBu
SwPHHQ8Q5eNh17nyK3yNcDUrBJycoXLdWYy5kM537qH12+I3WqFz80pQboGaxcH+jxAbx/HOBDxd
QVATo6x2JyPA4aU9d9a1Y2MsELTMMCfJ1hZ6FN9twCDTCYoM3wnL3DGefyI9hN4lN6tDY/bTMR/K
6rHrpLzuI2P8zJYwb14NaW5+DTheR6wJ5ifl27kH0ji0pQiByETBMJB//0qMh8Fx4vSa2ey0SDFd
Gwb1U0kvpos4vMaHmmcdqUJU9DRFSdtQWgFlKLJl8RyXQKunl/3xjzpNJd7+KNNy0AaqH+WgvTyb
jQQdX7IXBc0uy0wIZx5cgFXjdhUKbq3f1nUXruje5/WERp1CpwNki0veLiFUdHKyT+7wNq0Opspv
IkWx+FFGqXPr2kG5ZpelMNQIeVpUraWtPv7lf9OpYC50evvoRuCjnYmq4GYlRRBo7Y5AyOrgk4Wu
kHuqxyqu6lvYtEwizMpd9eyJT83EKUIiJH1h11r/nr38d1T521Eltj6vXts7b8/L56Z5/h52EMba
5u288vQn/z2vtL1/eQa6awGFxXQEes7/zCtPLkXEB6F5ZFRovcrTlcZpKon/pmMxMz2Jdf4yMBJk
FeHJyYjTtDkNGYD+gYHRuRDK5QqoEU28x7jYu8EauWM2oKhW7twofQlpObeaS6JV5OL+++rp/M0e
8XdXMshORYLEwIu94u0WkWI9IlXbtHONmXx7vXwqsSJaDH7Y/WYm+ndX4hqQlyXL/11EcNBq/lyX
MPPbAbNLv9Ovmx6Pd7uaH/74llidhkRZb3Nb5x6+PaHWXlHPSAA4V5I0ecGW4iXmf/+Ty1hIjx3e
+Lt31DJ6a0JrLNlwBm/tuQwXldp6mYzRP3h0fKvI/nHIYoR+khK+2seDUieYI+SOevj+FyPaDFjx
Br1IHv/mptSJ8Hpz5sPDcgArEd6T+OVh+/rEcHrkNK03lLtwgCNld9PdFIwP5JA+lD3snY+foNrp
313MRE+I7I3T6Vx6D8WyYG0W5Q6oEZCPkmYXw8rD4zt6RrYFk1nW5oIUhfbPP0XXliRpKwE1AuOz
j96uC1AZ0Msd50rxqcNqAG63ljxoMf/08T2eMwFOD5Tzjl0BB2BW9dv1NXdxN0WUDDutq+odiohp
TbCp/+njq/zN2nJhSvzfVRTG9uoDUQyLXmOot8PwxoKWND702ZAf8vqfPbpXVzp7dKTphQUDcT6Q
tJtW9hg/z0inlr9fXu/0mdgrIzwnoBdSCQZBKuTt9T0FHRNPSfG/a23itiytKRbQjRHzmfKxgrG5
Azdk+AEyu7GgpC3xTD385qme3ArefqGeyz7Px+l4kqhUtVxePVcMpyw3K8psV/YG2SJ6T5D2VFLm
zjKbcC/Vi5XwarGpIL/s9HossK/CwNOsZH6AmgFHniy1ce2OmEjWzAK/n5BsJ8ZPWXkobDoneUGE
Ze6Dmcjk0kFRg8iDgGXDo4YpSv6TKfSzNYiXwYSeVG1nrLLbqfYM0uSMYm/hh/nUZ9TqQzZaO5/A
ikUxQTAbYpZUgst9AOaLnfOCoo7KpKLNatswX3dJmq9bGoZPrRbLA+kcw/fK56ARrc1vtwVXiWVx
RMnTx8vQIYMCR6dU/xYnIeb2uDiStOnJ58znphNUHRsircprZonFqrUgrADx+T4RHhgxjCDpLQx3
nyax0hnIxXjgwR4ttWWmc3dzxt6Jgqtdwo8w4HCwv4VBlK9tm1MIrabYtDA50U54wjzIjI4qptk8
It3AeyGjNnQ9tJ4ktBtfCAizjmMg4qfALdIHe2AAXTVm+bWyM+OLz72XC2cAJiRmp5v5TT1xRsgJ
vBZfz4ntZrQl0A6u8+lDM6CHpf/MbmEPtk8+j+YYxlV5bXfxiy54p11sG18Iw30Zm8H/1NpzsR/U
7hw2TXGcUjXmqOm8+Hw9LyV5KLLHuxid5p5DpV3CTom2fZCaCyoRYt5So8uh2qHEXkhMfq4CdDVw
jYP8xYZZeYWgjYfYpVbOcHRgYHBaeWkTIKnTffcCOV2+TiIegt+FMIIl9PiMROJ7d1ZR7wFxZ0/e
DE8wq0haIN49hmXQIpZfkudip9uIQWV5KYBYvRXpb/1j6Jeat2Zm2rgoehAxLmzAswsNZukXV8ut
ewZM2YvhoETkHqd1zuBXsbwJ5YPL/FCwuO9JveP7sWhWIXLD0EkWHrHlxaYbwddr/P0WMLZ4Ba0/
JkjhkF0XCy1INPQNtvfQVDXLTuXnopvhlJ3xlt22rHsScNKhDB/aXAv6befm8bM3GNoGymB/aTsF
tKLIQ8jU9P5IC+n1j3M9J1ur7FqyYbTaiDZxaVqzyvtjqlk30PUXkMvFt9krmx/GzNqSGrPHVTpY
zeceL4+vQQyT1ZmIX8/AhEl2Y3JxgA8XMYccUKuJhDdhhUHyVAUGiZB+kDNLaIwl8oIXenEP6hB6
X34I/Pcgm1ba1NCahzAoroIEp7IuSL1trPGGOpPTF50DOLJLG2Ghi/6E6zrqvrAcw5956Vm7PLGB
lu0Qxr4U3WPZTP3WxDa7XnikDq9ndFSHAaVLAxNqUWktY1CRbr06+Nl2NXm9zfgJuSQMhx7t9BQd
stwGMfVRW3AaO7dhx6Jk3j2uQdP6y76tvXWQsM6l2/rQOZ3kiwsB+ah74wbpmTKSG8t2mQ0J7mPM
KUmFaVM+anZFjLZSeC15F3vXJnUtk0JWfdKlIAxIwhmZxNN6rtndUJX0W6GO/lJy30YWP+MP7167
hNfgoNu4t2bfiqsCvs59LH3zgNU8V2NDfeo82Bt6OhWrPuf2rQbnvEWGbOK6zbvhO/FoyAWChj0n
lIl7K2zCQqSOcb7FRlnX7B82wbu3M+FOCwNp9Mp3UOwuLLNzb/0iqQHCO3ayU7GH9KpCfpd1GK3H
bGJGV6zsgUvXYNS7qMEt0hBi+B5aOUaL5CbiJq/zBcO1qqP02izbYhMOJjl7zGOvm0qV9oVRHFNR
8jEBwnSQlYVcJg5PJ/I9YDXczDCTYdeFJ/e1TVzxUx/YrXr1jVj6LK4Sv42uYmsMNj22PuxxFDML
jQiQqziwNg1w6rIvamNpYUa4rdpiXPazXXyG0eRdz46fIyIje5sDd1h2vGFMxfW63gWcBvd9Gajs
4DzHB6PLbpuOvUcL2D0Gj0Wf9Djg9F7RbUyEq4DifXRl+ob+zRNdewR1pCQuumuX/L9dY+v9Ng4L
b5t5gXbZ1tG1ifvJoxbHzfU0hu2lH89fIt0cYNDAhHNxjtzKWVhEKpPHTAJNdl1qtX+TJl8d8mEI
/iXQMVARa230mfX8UPc6yiqX1OIwyJDT6WZ5LSdoGByLWDjY8huOjciiHQ49hPwgy1GIUj9n561z
dhw9c+FM6QLhwMwrLX9tsrZsys3MO9jQ/qFgs/Fc5Nwmb3JKx26XGZast8x9FgZTiWHRNl6MhixN
2cxi+kySWVHiZcrOKlGONjqaKvh8aBrqjMCtvprxtCvNKGMWi4AAhshQZYsyMz43GSlzQ2Xil+K0
esmoBcYE+QTdqhPZZKQgwmPh2MdpMBBEcPikNftf5gz+XcVgZ2BWFoc4aEd9Fh6G2DN7zL4zIqUO
MHsKTADsziQugXag7uwFoUvOSzPFobtw+yT7WVpwfUQUOPuRcQ58x8mrFWhp4eHYjOzrk+skCCbb
um1v8IYOFnUsO69jqBfE67YMawki0omewbNontxEJ38N6vmnITZHKI3CBnOlvodvUTpTf8hTbOdR
iXyTboeiWcVxTpiRSyywNwZ2qis2jv7Wwl1dqe81+HAOCRKaNKYt69QwF0XMwLpL3XZnVGRij5X/
nIRWsnYwnV4biodGVj2KktYYyXrAR3wB2K+vcml02hKR9nzFcg2+B3iadYtENBrTGEQscappe+w1
dXfjBBn7m7TZvmVAdULDRvLRIL3UWpXc8C5hOMjYcrJ+Z8JivivyVUGMj5dlK6L1uy6wHCOMLVB4
78Iskwfc17OXwqx4gkM7NAgQUYOPa8ISeGxhLNorHDHpnshfuy4FZRW8vWcOrvzgGmBUk0GrQ9QV
fNR06qyjNGCt5nVcM8poPHS6FYMSgiEtPOhZg+ZIp7SWWLh+MqUun00bs7eFx//YkrXk3ELWY7v1
pzF90KOIdE+1B+bEebrLYVbuox9X5ieo7U1hjvcdBHFd9yzgTXFKtX9VmJMcHsiu0dMdgDV7rzH0
l23QoYxya2qmljL7ajKJGcaOgBor8eriyOZnHVszgywkvN/1zedeRzQriosNYR3ACOxBtYGvfo8T
GAH7Ab+nzsQDbr/HOuF8GRzcA9Puzp848j9+Au8adT4GnU4ddyVlIHTOmoD4Y2UBEwZ0fxSkud/5
HNaUJnkenlLYi/3H1xN/9/Ux7mR+qMy1Tfeskc1rij1pJymbK+KfBTtmQQAJli4ruPXPOCp56wQb
jmubXMCb0xGMh4+wt6ExECorcCXxk9R6Luaq344NNc7Hv+9dn+2ZuCUaEF6V0x2qgrcvoMWD0y4j
Rqwe/fbW0oLiiHvE79bgO8SCqwBUGLbpkFrgnAMxXdT1vp0X0c6WVK52wK6RlzYCcqBhjESTAl0S
WXBXTGL7x49v0FAP+O0nr9KIFP7D+MeU570oblqyr9Mh3MlmCHxGyXCkNJI4nrKOuhSpqzVde5rl
PWDT85CQKobc1xrQNfYY3rZFHkZqsyMssUKCazKvKKnliH3ZUfxCSoAy9qPylWZT8xu6xtOv/y9e
/Tu8Wgg1dflAWhN9D6PgOX8DVf/6Q39ZiBr/QtzBIkc6gxWeZQO5/GUhqv9LohXwLAl4phP7hkLk
L699919ERCHOwC0CCfzJae4/UDXJUcpsii6TRUO81R9A1eJs6wNzEqYp4b5h9yilfm4ziRgPwm/a
iGPOAL7FggKTmXFXW4pbg/bLRnkRTllB2K3QBurNXO4hXYUIgklztZ5J6c0NARM1VrWJRdDOVEPp
T2V8DAzlOAQVjrWFzQY6kldP+m+w77M9FGcFfjABhHDODOD+81/uNh2OL/VcHyEjjXcizLWlRY10
MfUqm1ybaEs/viAnwdtFrIz/dIYO0gLXV8aGZ+eEFqVmqWF1T9iJd4G+UiPNuueo38YSSikiiEqr
dqLW4TcOlVeNy072jtyRj9T7GysIRbHH2o5ufu4JjV3ktg+IYbT2eOPmERz0AoPUm1DxDFJDtPNW
+nlxjBvh11Czc45skfi1TeYmflxLkmFgiAZDzrPW7H68wyCGpkvM1nObl0WDS4TLpTywgGBdO76q
+C0fsexga0ACNm+EyrZtum7jk+KF6REKlhqZSQVIx15fm5y9k9S8ej23pbiqXUCEpRNEJP9AOsLK
GEQFcXMoUwjuYWDcC2g1uAs5DffW1JAWtXAabwJ74GeMRuSOa9Myyq9GPyQzZAWjCq/HMOMXYWxq
7jllw/FzjSRqjuh4mWkacSiao1EwkbiaEyxZNrYz2eWjAYkhPLR1w/cXoJIGy3Ks/m6uc4gKJjnm
X0pX4LplGi1PLmrw/oT0XIzFvi6RBy17cs7mpW/DRKRw7/m3ZYdBz5rAKQqqca4gv2l6HIeKNAac
V9S54qbC2Y6Ig8ytZ0yw/IduouHoO2xBYGRgnrGqIvs2BOHBX6KpeEh4P/EWbMmo6zFEFVPu5Iw2
ec1zNLulFSlpaIRxFSoXi9Hnp2nGWn7ZG5YhjsQopOFhVq/EUQ/Hq6KE91eaxdGrNICNKG01AmT6
frgM8by61VwdkjnoFI4sMEJd6GakOK0bXBhgnyBnoLq3ncFZkXKcrtFyBKsULxrFZR6ne0bgLWb4
Ho1RFvswuWarQ4wRt9blNAX2g9Y74mroy/SG+Bzy00AmdgDH0l1GRu4850HSfylNTC0gyvHJhgPj
8x5fA3cZxqqgJkQDKxVjtC14jPgWPGj4MrW3Bh6B9srqHT6bvnZ4vENEIvA1zhSWucHqnZi3ZdZV
Jgatk3TD2aRllxq2LtnIu4tMioSXKZ668iv/mMUveP6Nd1Gmgy/Y2Iwvi4BvpIE30i1pW8U9ujRe
D+7qlU2M/MC7hYyYgmE6BRlyvcHiQgDNoiRVlgTdRsdU6REzsfGO8pGFoM0ODzgySsPeJvAvjhbq
CxJHxoZmu48BDGPfGEkcsapdp2IiLsy849E7RcdVQKhIoBKsNm+NtJDn4niKFNwRC35EHmzU98k8
a9qD1jlzddESqlPfTGQQIMigHh4+zzi7e58jqWfJnd/HkG6hmFcgkaa5n1GI94t5yniWNHQ8y1Ef
6AI8L+BBMIOqd37qovOT7CrhoayQJi5PH3Iyary4Al5+vbIJd4W0WEO4IQgEqimbeWHcR52Gaovp
U2g/jqnbGdexz7geEpsggc8xB4EdmAvQ7yqfAEzRgnjcOX5Qx0+1qCGyLqwOkYlJEkfypWaHECGy
nNmqrwsyvjGqHwON9BUnDbR6TcIQfxOM4/jQVFhzQX+pxVWMz8r4xe38KvlpOblhAABNVeCvM703
jOuM82euYMPARd37uYEVwoKwEF3fhwYRU0RuK3BdiwIdGdgMLyoK3Ksc79VHq+98MFTxyemDcVhi
aNd9RsinraFUhOiVy2ZpdkTDmynp16DiER4WUT8shCkmaxWSf7ADdrEH5H5xpUVg2PQ2G0n3nRN4
W07YqKX4G5Wlqz80WAEtzUx/0sBZSOOD1IRvfLuIwmF0dyIxgm9p4zs/x4BYdfTT+XWb2hdYS1bT
Oknr8dYunODJMvt8nXFIrSj7zDuGbvmTkGG2MXIdrMeZM4wcUP/feAEeSU6Z0Cwac5JeRmWQfjbi
hvwWvWk3s9bSf/fjuMTyBuuSbCiv+3TOLizghXUHA/KWbb18ir0u/NTL9GZw9DHe1lUjN9VEXrNO
3bntsT75FDR2+nnIZBNs6jZHNMABhudQNWO84iUbNKh4M1YD7q2pA3QS9WZxz6FTPuZWVoareG7y
jRvpxZfQxn1EcPQAstgW0XL4mI1XpT2auIL0BHyR7vMS1VgbkNEtd8YcB5sBpu+VFTSOXIW4/UxI
ASgHVsoTAzQ0K7ZuWk1qymUS2BiOxiawxG3sF+VWH8NuVXOPjxD9gH7QtNn7nHa4X0+Z011VrfQ/
eWVobzViAjcW3iZLLdZmdzNNtn2l4ZZxZMOednqeT/tBE95+xkoCI766XrbQspdVN8XwOBv7vo/6
+Yeup/GRlNH5WOe1l64+rlDOGhzqExcePt6rqIoNOmtVMr3qYydyD1tic+QBhidnmAPvMmLzpyOA
CK08ACQsAnOpZT3/rAPbjbuPf8C7ahIVOYiTyo6C+UO3+fYHVEVmunEKD3BsS8CUXIG6g8kpKDUA
YZQxxRE3vfo3Vz3rHrltByII5klKR+1grPf2qtKfQyccLO9Qwa37imSSnalsDYqcj+/urIk+XQcC
kU29ztOFdvH2Ohj02l3jBf5BgpKzqes1h4aiZ1ujz4715xdTM2cep4Cacu5XLthEtIAq9OCmjE4K
RaM9ERS0qPPWH1/qfSUNKgDDm2ZAx53qfJJf4UBYaqNuH0ycca5yeNdba4AFDwpUHBsH3O2Pr4cV
Md72AqcBtORnYIRwC/aNNLMOM7muD7/OQNxVObKsXM1Ummji8X58zfffCFM4i9vUsSc2LP3smkUu
K31MUVd0XVTvhgGC5SiG4vgPruII6Ho20286k7dfSEr2dO7jGn/AbqveTRGkWced/hAtUcvcoqF0
Cd8Gzng3W7db06gsjXs5MS/siPENROh/8JYsgi9wQKDbUXYIb+8lqRjNYtNhHQwfWjfuQLyTfsKI
YA2lQ1y15djPv2np3m8f7OksZm6L+Dcu+/aSeLz505Da8kBYlP0ooEAzG+0pRboUgCqHeW4s7GZm
8/r4tb1f2OQ6Q5kR3C0Bz+e36oG148ZoGajvWVx+wTbV2hBm5hiu/8eX+ptb5OOA2kQNDnvlfK9y
UNZyqcyAp6yYsYRpHeeG8SQZu2yYqoMb1Vfz8UX/7v5IWXAhtlnQMc5pYj3qCTP0bHFIbWgseQZl
IdXdcEuj89uFdkLRXiFdfJ0e6ARuNdLxHPf9SlMzT53lzKi0gdoci8zC3MbR0zvMVuurAkE/k4uJ
MnkcqOsYvE3NVV+h4Nwwv5I0FwXTQrQuPwSEYqrOOWf47iZ2mf7msbzf95A3mY7iS8FgEudUszyy
hgjZIl94BmZKiAdkeOVw1CxweeJTiz3K+o/fhHi/D0EyZFUpKBKe2zkOGKTgJT5HzEFzNWrd0TXp
H1o0ncSDCU4sPKTU9x5H4qrq0uorhPBZrMzIG++qxqjSbRV0s3LPRFvRonMK/3hvBo2GOQlPzeTd
nXDMVyWEjpsnRk+s+mx2Kbp1K34SAZPyJjVzwgIr/XcwzrtvE1KhWg1AOXyiiMPfrvkKx0yK/mk+
YCcknxu0ZISFVzmf6ajGGx8//r+7GLgRqXy2x1ZzfgpApfD0oPKmwxgw145z1P9o4uhyLL2kS/r4
Yu9eNXfmkrshdNxx2M7OypIs0UTZ+Pp0sH2LxpKIW74sFiJd4scXMs5EmFBh2S7V2Q2fkRP1vDBJ
zTAabYJpOcDrsLnR6eGIvXWbNvns48nYHMu4BwmRAXKacAiZuqWlY9ZgyeoYLKrxLowScAJtoFli
2IfEa3aYH+uaDZQF6mVu9FShHwNJ5/N2YFxy0+ZIrbM/3Yhtgow8xmSca5A/zyuRKMcNwsEh8GDM
zI8HphRHNGXRNtCnPy56uBTfgGQUAKT3biICw99o+xGhTa3bJuKVmPuvCnwaNUzvjli6/hY/VKfX
q40RzJ/90GDpMwSAgHz+lvI5M0VVW/JgV6P8adtGf6il7z2cABHbaUB1qjnFuHIcjd/sdMb5JyIV
SROyJqGLagzBGfB2mckUggE8F4y08bzIZmTqrp1g7YMEgmA20uDdb8hqE7nqC4a9V14AFSI36yDa
Ge0EkwIz2ulO7zJQxDlReE1VO6qu72r++aRXqTO7idG7i+jGaSct528aImvnwQdiTJwQcXlrxQ0z
fvV5pRqHwXZqa1EeekxCmwU6n/HGGkagscZneHtMAI7gT1R94KzcgBHwpaVrSb3CuTG7HUAbrmq7
1bCHjeybYhLavC2IRMYioMWJQncwSLgAltbzZeNYnYeZaV1etAmGcVDNyhkp8FTNNNBzdEBhKpbI
z6wOcagICbkn+juyWrBvvceUxJxjxapOBemWCHBFKn4MmH8CimuoUXGILRUYih1AeNNPI//sYFhZ
7O0CiBLKjueHO7tPaEryaubfzpXz7+ITL0OQFy9VdU1VstbCPLWwRsobLCAS3Clp3Kd69JJ94Grj
XTnOWXgDSygtLpKg6tvbBvJNtoLOw+ouRFYmd8UMnWRVd62oNowgx7tEh2oc2HaR3EECaH6MzF1n
EN7Ymn+SjdjJy7oSCooaUl4zQkv+ILduPVuoH+ZPhIxKZoNGLC96ZW0AooEDxSbCN3Dc2CVq4BU4
CMhVO4cA4W42YaQNeZC/kQwpH0bWYOZ7MiM77dNYRFy6SmZOLU9nbE8ydmo2xnU+9FZ7JyIND96E
zyW8oV1ELyomB8MB6Hty3/c1QQ6IMXptOZc5gk3bYAu35oAvKMeLE9alM0TOhcSNmxxeJJY4549k
nF4VdQqm5RJtOW/HlBZywbQclJGJ81jfi9yqU1SvFh9YHkKvvtKimrPhVAeA2fP1IR8FaghtpnAH
FCYIyn2AELcCbSvGF6+d/RvE4dBKTxCclXb8GDMcxb2MDes58sPQx9+xgZf9a1nZijKnK43X4OCA
9ZxjlFkDzk/iXowiZArKqViRYQaxYVnbFl9R5SotXJhaPFejUZi5GTfdN8jJA5GXEBNvfo1mCNp6
9i1TFRKBpLZzCweWp4gVElsDzy/KmPYHITcI/On4c+wOkDEEu3IuLId5xCLRozHGAzTRmyM8H5Zp
VmpMGtJJ8mAl9mvmJvaMILpt8oofInSwk02ZGs1dPotqfOpGx9SwAnGsJLlzC2/sLq0xFfd2HOdy
2WG+Nf10NSYZa/jihrydRAkKHE7Uxibrb3AyzmPGAFjMhqAFfCuSaQ60TNmazhcK84T4SNIcMTVY
pBg+4qvi+xAFlmzhFk6/dQNaP6WAkqgw89kFEYBtdsh0fQRqAyFvXQCyuevj4deJ/9856e/mpI6t
ZmH//5z0Lix+/PyfffPOhvDXH/z3rNQR/xL40kCjtD3bYP5Jwf6XDaFQwYlS9/6aef7fpNQgbFFQ
PSKVo/KxDUq+/0xKcSfVGbCayrfwD6akWDednd3UcYAj0uQ38LvoGd4enxWu0nXmeQUGmk2+iAmX
xpnAaKN1AHl5HRnW45D1/SXHWrTAWPoxDSxtrw/OlQHyn+DuHyplpMxuvT7Lb0iUfsCXAy5LmVas
NYkd6AwfdV8Lenk5ac4m5iBRMusrnJuhNI6CHWmon5kXXNpDesk0YOu3OKy0teUtu4EPmtBsXLDq
6AVj0OgqY3a8rJySoyyHjK5rLoC+ZRAtrc/HwtNvbEGagVcPzwUzk4WV1BDESVipWzinisiVmXCC
wX6uHHPcsrGW5DPnL16SXw6iv/NHhMgy6jaSbbOb5hsZT0c94L+qY20xhtEzRPtiVVTzd6tNDkxJ
v0N0e6ymZlOkoIIYOppf8AzbRbVrLwYd0lKBxT/5DHj2tOZj0qfPDifZRg+GO71OLtUTaDOI5zJJ
X+KSYW8TtPHGVJRRE9oqdkEYKzBzug/M4c7NR3tJRRTs69T7Pvg4r4pQ7jD/PyYd5OBZDYe0oeHB
YIyMi/TBCDtjOSYjQTPT3VDKx9BMDsGYPtdVDO3FunJCkyIeKuFackOKmlu0041MeVeT2aIhIHFI
k8lhlpB5xjYk7NqglTEKHhRmfWTisGUtMB4P15iOtcv/Ze+8luO20i38KucF4EIOt+hGRzazGHSD
oigJOW3EvZ/+fODYc2yOz6jmfnxhu0oim+wGNv6w1rdGbZ0yoBiNPkzdjO/fRoNRkS7ZUwyraXl9
rRZ9ckQ1cYtG7HYw5z1bpfOHxBZcz7n1GqTVRfrTKvlrjpFdCrBSJh/OgXMXjAKPkbBBUKJiVL/l
4JbbLLC0bdHzQlNGfkiKCOxKcGo2ksrMRgGeOssjwVSkydfzpk6BpaMge8N8HERsVt/9RjHxTjhs
U5FdF533Apzhm99ZN8FMFeVy6EpzOLA/FIdumR5V5xyyrB24UK1DUvEZkS6DpnSYhnAc1RlYXUpS
L58n8xnrFHhcCYsa0LnQlBNtoT/VifEeWPMQVguRCUNSkt0+PXZifLSX8mel52DkKbW2Y7U8WjFB
N0WGzhn1PoJzV0s3FKTZ5uN9N2r3msnTS9PVOZAX57plGLUb1q/j9wzTxeNStNyXzBPy4LKfwiPN
7sHUWIHEWkC0SyohDSBiZFDabMuFZYvsbKKGAthh3aqB7BpnOvZELx+XSdNuilSWUce856YmVIsM
q3KCnN31IMpK631AVSkn4V4ZPvFQXDVN1tlbgeYv3wYVgDfYF/NbDPNXC5PWLFedQVc/MVZ/qhbN
HbfKhuYPgIFdXxpf23XxVVjAAIqljJbUlSQvZ9t2kCICSpdSFWLmysNsEcnJb6Agu153XWrpbU22
TjRr9lOjGRhORseJptF5W2op3mt2p9yVeRoxOwp9T+ZhqwJ3V2Xop01JEIAxOAO6YS5/lZvvDY4w
IDQVyUaTDtHMNHaWh1SVn4JFp+IyRKakbxcsxje27o17YqzjUBbei6e516PZzeSNiJ/aLM7o1X5h
Cfo08MELFJje2vRx65MF+lkAluWuTYBV0RzwW5EMPna4OPzlOnO6i0Ld/581sx+vxlQJ+Q69Hsa8
T5MN0Mxj7QJcwXCMyrE2gK/TqYeuxYH+p4fp30hhPneW/F6W5fgeL4ZmiK3BX59OswcaMI/bhl6t
eAtWPvp6HOfGTMxOH/bNkf/TfzF0+Iyv/XhNH1MVVupg/e9fXzOx6iD1yYgCX+ukCPanR9K7yg30
y8O8qsbX35ck+TMqjV/pR621Wf1zJ/3x2gHzG0R8LG4/z4nbAsUD0b/1AdMhkoCm8qGOw37huDjn
TV7AyFreZzTOu2KeplM+9dy3QW2FIpXvqQvsr1bnMVknvNgWgtV+RBx8RDLSeXY5vukC2k1B9FbX
5JfaFbsKeclSJU+6k1Zbd7GvR8j/m5WHunccdk4Jo/oNAgX5i2ncp3nVegkxGoPCg3VdJ8f10wdr
lhk8MtOuD6nJSrnRb3F63VYKceq/v4A+2v/P76htYOr3GCFxKX2avCNg8Rf+kGs1KFk00VlJI7Mj
EgIsZEpBjse/QKOLr4wgCfp7vWI1zDPUVsnPbuJcXkuVfI1oM8zlDBwjRhQzPrIvvbbEtE99jnun
hZWSJCxTu8VcXhIH4XfF7jVaMpmdR9Cz93WxPC2rw2Y0M/s0ALGMyE5YxzHZzzhzWGMWqKLF4jd7
RAs/40Y9+WQDqgGfDm6kQyqdQ5rWGWkSCmdKu5wLgpyIUFG3nly34CbfO/C1r8Ip5MYzfilk/ZsT
BnEnYhAowN6/bhIYhDSdrVn1Qc2ARyknFk42lv7ITWbrF7PkT/PFj4vD+VigEbnJSnL98z+NaoUp
2fwQF3Zwiune7vEANb86MD/upE/XBUG+6JTXf7Mg/PQaWdoVwEf0+tAEU7vrs8XcsG59X096CG1y
P0ATLkwkbpp5PcdBGnl1edKW+LnP82++O5EoV00CWUhuHei3eMgGnE6trC6GkfzEo2FFHoqKQ2m5
CrMF7gyAxf1VmbnR5LdffEx5bHwAgNoykxuGI4gDkKhtUNe1O1MgTbeCztyPmJdC3cx+sv0vQrRS
l2kpToWTSJwvOQWqwW7fMUiNQUi7mfThvqnNNLIt9asF4N/csXwWrGsZ86FP/Dz0BZY/kLhAhJNR
0ihMKW1pNuAphBPH7ww9P8wot7al9K8rx203cS/0UBnVzZBzLcdFHREhMu7mGD//4BoNoYn6C3Ev
1pbNJs355F7Ho+du0PZfp4GZb5leaBvUSs3Wy+WTbs7vimCezMseFovqMOj4hQWkZEhCT5JCDI53
2u6tct4H7XyfOO4YEujuhnbLwQcgikhRjVwIkIrB3sSSE7R4Uv79afM3NwnPjPUfA9a8+ZnEMSdk
6QzzBHHUr7eUOAt+J34cWyf/oU1+8YmQsP2vTwufpzDHmmGsSdifDtHOtqSFFKM+CLOvI8PtsZ3G
+SnmSRUYfD6AjwpGOTRIk8kxledUgEl5cQsKwJFFZNjUQUt05NRFgauqkAhDguSk/60vjCtt8m/K
oOo3aUC1v9SNtbVaCJ+5AkIoz3h5eBhzmSVW8UbKFlUqLrBc6ZduJN5zafAXZkM0gZDcDXykH+2l
shdry3LK3BA6dnK1ga9omfO08TiEpRpSDD1MqNYmKAb2sp2Hojlhk3vMBhpJv8DaqvAPAaecHwWD
brRzoMWs6RFl1S0SpdNHOqvhjdusLuR2/R8NsiiQ7PWCbMdpZ9g4hdbbqF8cMkvmR/KjaCAcnJ2+
iwmv7KiW9Di/LB0AT6/lbwvNeelyh1tsiLurwFnexTBs53Gdy5TZJbOwBZKlxSOjtF/ydLrHCe6S
AugcEF2etCk/fRiJBZKlcBjKE03xvop5smTQMwGTqid3Hi6l4XxNe8zxheFcQ3XaWqaQKG1mwJds
qWccp2efyr4c7BdTYMf7xZX7N7c3tY6DUcFhaYXY5q9nLjK8nJGVUx16T77X/XTf6zz3JtqsGGPT
dq2/PlrtZgiwPQdUeh/3fJ0OOzmTntblfFlH2mYx1HkUAFj2J2F5OHkTBn6mX0eMy+ShXM1LE4N6
HHl2FnWrrQk1dXBpRQAuKeG5yLwVyw9nObQo69rUOGPyQT4R57G6Nq2WoElIFksyQKzyqawTGkOe
h6nV8IEklNlePj4OEyeoMId74dOSBmN5mcbx3nZGAFAEYEbESlmkxagzcT+PeVz524pBe+g08p09
PNCwdrj36A4OReZeTzxEaDLHR4tx5FrND94fz9f/Tth+NWFbvWN/ulb/lZyTYXhj2fJXJ8LHF/3h
RAh+w28VIJZeXQhc2H/YEJzfKB+wGqxWgn+O1fTf8Kit+RBYIjk81xf/faxmub8hfTIhzhgUOaw4
7f9ktOZYnxQRPCc9cxUmUHSidcKF99dbShguQIEuQe3s6EsXYrt0OYVthLQybF17etUZGyBOdpr7
rJX1NWmhGJh8RL6bOhjzyPAy/SEfCiUjYS7FDeHEOfATDfVl4In9EmTWCRMxMXxTBqnc8dm5A6YO
bPBUiMpBNDjpeSrn5kpPGD+GjVleYQUsbr3G8veVHqT72Iu9PYMne6Cw1ABegWndqywVx4LF7GXs
iY1U8GQ0lKLstIBHglYlB2L+ShCgJKMYKezGguiLP5zhCOjm+J46Eethps3LcSSpr1DNm1eU/kUV
hJmuJe4Q8ReQ2k/usivixb2Z48Vnz+QGpb5ZmbTH1Xt5KISpvc+N6H56bYZDO6/9I+QL8SNZzLiD
ZNoat1najhjvLUGZaM+nvPB0FktFLknnyM0fud7om9xBmwzzzmKMheT7mhDq5Ny3SnuvXeAcIZ5a
ViOqq48y616mYOkgea0yaGr7L2k7DA9BMMCxJO1DfFv15S9CKwpmk45NPixW0TFUdcAT1a8Rn7BC
DE1S646pExQeJ58h3jpGnuPGtOdnlywo3uS6/Eb833AIVDbwSMqyd6WP5VWmixtNJc6pEEN7ErFS
Z3Inpk3teP3OI1PCZNKRSY5BOZqCzzMpXoKMQgghfzfy3Sqt35m9VZ6l4ZHP21Quv+gS5CFOi/HK
yBwN8rWe7jGglo8ox9LnYshIhJ7r1jJDSdtHKqeTG1u0IzqDDjLWEBRz7R07YY+X0Q5UD8VTt8CN
GDg/UrXKMBOp95u5J16rVBaEA9T2888sN0exaZdVXFGXLKjaPK1vM3Tyod1J7yoRDdG1SuJ5Fn51
acF9XJkaGzciJmcglAz3PMl53CZP0EMo44Ixsb91y2xD0UOCvPdKhkegSKqDaokj3+JHIWjdr41r
VMLBXRLLdDMTwg3uHGyknLaucK4J9pze4dwWR301icy5pqXbqR/JlajT5azU4BICHwz1l6DJ4xdS
JBLtFHdmxyOt9ozvHQPdMUzJR7if4C/G0SQL43UIyrjeJHU33hlj3X0VrD03FKHGW0E01IQbe5D3
Papj/wAxeSZrxmfgnpmyh8ptLXZIWhs2uDE2rCdr0tNzh/fkG3BwHQYeK6Jk4wlVHhhT+19zUoku
hbNI/cj6NHhUU0ExLHMvXkmr5VRu26RvSFeoqzeWfMEXkeEt1+d267bCAqPhyh9OKyRUKMNo6ij2
4/olT8be2JSC8BY+rFq8Dh4p3yHk9fbox4wgK20aK/K6neBqDQJg9ibuEPUENi0J9zMYjQ7TtbAj
nw00rnKel2oa++1it9nWToMR7sMAwa8xvJOj9/g7rDT3eR/sfN+MIyca8z1vQ/6Cvp+g0d6bGPT3
TaYXy1YLhtjG4yv0V7NImX3aHKYTTBCCFuoqy/dAMMpjIkm5YLLBppuk+/W5n9m8sV6VP0N96Iiv
YPo+c5jF4zFOYMZD8Jzbr5Mn0fPaSEoO2N8ZVTq67G/sXmjvjeMBreiNfLqVHVGTeUFhAgQqD0BZ
EGm20whm+YoZf/7Rlen8Ku3auFh9BkMC47NPXKnDaHATxFZ3k8ogLraARBmypHOMdF+jCDb09iEp
+pbKNpjPwhUZfpKi27q1d7JbSTxPXZd3AST47ZRk8TEvODYbw+72i149JrUz7ntBwsMKcJ0wJqEe
x6Eg6w1TWzfq9EV9V7gHqmgyiHZorBFiT5NOeIN0P79ZdAAa49kuSYYfNraY2+wZYnfJ4Mtj4qq/
+LJwCzNMhWUMA0hI2ec38RJroRnk7o2R495QRinuXYJo7l3DS245Fhd0oYU6Tsn85Nh1fd+hJLof
jT42Q0Lm46cZBTegeeEzfPXq+bSGDTz5MD44pGZuKx/v95rzXd3Shna7PiFrdsgKG+EGvUgzERiU
OyLh2OZpt1kqmTFbDcZd53tdDuu4qq7zQOfHdQttZxBazBvD8opbPTDt0BC9e4U5yL1R0GsvpLfR
CgmGtw+2L9xjnhXzI+5ZNuDpFKc/LKVJBtzJWJHU2DXILmR8HYD5f1Bc48eEX/y9zToAB1I4e/yG
YJ7jTn0lunwB1NBp6pAYpdzltjTDxRjGqBuIMSkGh/NozAx1NgflHdMsbSCU5LdYYDF0dKZ1Ezdl
b3PIFpBGVXxs3Ny8iKVJGtjE9gp5GIntxrOzX9/PR9GsaYW5EgeOC28P9pEJPYE/VmSas3NXBir9
Hg9Ym7JFwyQtugWbo6MPJEgoT96ZhaBLlUFwnIyxfxJxAwXbcKYD95MrQ8RKgpGTF1R8RHBjaSml
vh3IU4TJwZTibrb0KqOTsci6YYBEwkEG3LcrbWJvq/iivGA59jwY2Qqa8zVY2He9yYJ39nRmEzq9
072QjZR+1VlnkYajtXu0ZBrs2ImjhstvXWHYJWl+bDe9XTblxS1ZR/PX1vNm2g3DfTWbzL8xZc2d
l66HJhpvM9ureYakI4RpNg+1DF5wdOGqmVI/bXFPdKOx0WufHGLsIcFrpsXFA8Kqvrt1RZ/1B8vD
jxYq1y3IcMiNTr8yXZC3+zYwar3Ddpdm8GwB0RhXjankg+iS7RJY8LGt1PV2beB6mxQLUExTMt8p
w2zy80BAfAUrWEsZnVlO9mYySIITbBa6E4kZZCy+LQKvlMsUaVmmYd8kkJPGE5esScfsTTUWx7cu
Vq+UvctzUWj1ez4t5lMwjN6j0SXtCXvcY1d7MgJjWh29rm833gjpwmuWe7dUrxyAP4HEvuWD++qN
8/gNFwMVhE0AT9g746sX0PW4nl/ektAVzXalXfHhIDMBknisEfv8tJTD+Gtou6IIYYD4uF7GDMRA
I4c7y5mZP4KPTbuQli5JHn2XAXSlTCJFFfUOwO3ZqbR/jHn/2z39onsCKbC2Ff+/PuH5Rz/8z1OG
nK3O3v7cQv3+lX8IFDwiD1mSrVJxLCC2xTf9vYvyzd9QeNIMQXpc+aFrg/WHmZteCnEmbFF27paP
g+T/einvN5YnuNDQBtJTBVjA/wOZAgjez6MuOIVIfBz2IugoYUD+tZdKpI2KK8es1uNeOlPmOYzv
zbY/W7Kyt/QvSPaK0TLue0MLsQshQ8qWbFvqxnwoUqHlEelf3k7gInoIfP4OgUnBE7VLuU8R8oUW
5hNYHIvT7Ua3GgpG3KlzZHHviR2sxBhXsmbPVKG+UzqhXTgubCEaIKetlkMX26faL0ZiX2UCzYnc
jS9G3QcxcOm1AnDzl2Cen3gaMXOzSQr8ooZJbfiVJMeZxllq5+NdMjcGGeE1cKql7iEkxBq1v9Li
7t6RXUb+tTLardC9ad822l0Wt3lPdAC4aWF1zUXNsg6X3tKflRATIWS6fIxbae2k6NNbM+jZcgZq
/c3LuuiJpnKzbYbwD+vxejuns6wektRxduaamZH3/DEPYOMcGNmXpmicMPGH6eLbcudP5bDROiCD
ydRMnBqZPTwU5Nbcxo1h3cVMl5awcYVt7Boibji7fU1tgzHG+eZNdmS2kxG6siu3/MwFz+zB3kCN
qBglex6WU+t5LOCxGll65fHg3BtjSrKbmgbWsrpdbr0pZVjvzDa1aqLsq0ET6yCtdgf2W2oI44rO
aq6HLzbMILa6mTIiDQvsht2hVQFVqx0+D2e8Uj6csVx/pVdxtiO/SwSt6imuiSgPZvFFFtIGOK7X
X8WcyxMIJS+spJ9uWbFECdvhbZknyT055haaUK8pL35esXiuU6ZbQVmlXkj0i4scr3dvC4v2Wku9
6TUWsXknWcARfOIuV1K1PwYSeXjOSuVGcZcltwpM4mkJSrhFrrVhT7lclUxtEWq6YJtrLb5jVfBC
nV9vnMErjmQ5xcl5HvRyuluQ4nVvIkl6HqjdSCM2GXdu1ZIxnnTWQ0Ho31Zz6vHK6fsOzP1U8ZbN
bSUuo6l/nRd7vNZQBkTmrP+w6+orE+ym31RO3R0xD4wI0yz9RkIi6rfk+vgkoKfjowIesEGKXUYu
rSVT2mocq4NOple+i5EXlpuynuevKYnU+taQY0ZIgQarKSxyYRDZQMCR4w3ojZg86new/xBS6Kl+
1XbAbTYL84C7qTVvZ8d4VX3wqouRFGArwP2vwzAN3Kwld9pLO7FnI2ru9cR0n0lif0zi9oduEuwV
5mhjI8F24+CUIGNv0pJGklJk1Xu4JttBzg6+A+Y3q0+v+y47Y1GbsVLVVc/FbKcwDxJAZ5c+6FWy
92PEBkj+2tcq09rxXgzS40eiedTG+Jb8u4Yqq2gvcrKmbb9OOkY92EvbSo9MRKbuDpSfTykQGxVF
E1ZKQj6QG+Lph/SEWLVxLvDZ48hbQ8DSKjairh1mhA2atjVa13+2RSUd8iLPNXpLeGh9ui/8MoGc
BW7QWQPHgjV6DIYCiEX8YS8Yz8lwzLv57BMFZ9eIgNuPEDN/zTODBejcpU1VRO2aduaipd/A2rI3
OW4pWh9S0ejT2v3EOm4zGVVyQdk68w7kSj12a6SaM/jisuiD9kTmUTqW7D2LZFsR3FYy6W78iHTs
Crrh2ZULWYyLu20ILCf+g1A3Z413Kx29uZBo32UkRmsLIv6mIwvO+ciFK3AtcVKJ7g4kmPXIMgTI
vYs1LHWYQ29kq+Q+/siaC9bYOYWzN7QXbz47NigADoivZeEDoJrWxDo8aGJnrjF2i5quS5XIn6iP
CDyYPG9HPBcAdeKeUHAQhkcFTEPmpQEyTbc2tuTP0UBWuG7JIxBXWTl+XddWu3kopwNpSbRjZdww
Sh7aeXY3ZLYO7+ZHPJ9nk9RHCnywmxLjIfFc/2CteX6ZvorLaj/flx5A1JQqvsdSzTow8KPaQy9l
rMmApqj1oy5RecdBkR7d2V4iyjT97A6EZfHE9neEuZpXI+bEM7npWbSY5X0Mt2Tj9Ym3n9ugJ5Bn
ldFlcmxo7n2bgDDOXmRv5TawzO7YsTZiW0mg3lZfrFtBPJvWLKbcONyil3TNSczQB2+KklUJcq5g
65iZcZJrsuI8duelqrpIV0v/3WnEwkixnaOc/NQrRnQJwlRyGoUKvjGSr46JI753QYIdu5i/QQ4b
I92Q5DyOPG4MQfId/J8DJBSLjZ1/PRGfMvS1dW1VJjv5cXLuUKpVO6H114nM78c1X3JO81ukTv4J
nZjJ3VheJ16ldotbIHxfsoSIQHJi3J2jeoHcLkiIOZvGYSPWZEuirWQ4j7yv992YJe5JsXUYL7LX
kyYyeXIK1NWLhadJtySBKjZKNj1ya1/pEWreVj0QzxtoL3NvLnKbgepXrLpY32NFq1lwAvEsSzvy
BsOQB4IpHhxPuPlWTYpSpmcEez0VhuCycgzW+UDmmlAHvvFDNsaC6x1v1I3ZmIyrWiCzz1Y7Ls9V
oy8nb8iN84iyfs+QggDeqYKui8C8mE66W8wc/WXNezClw0FWuoqQxENVLzT3Tebo5JiN56dJD0ZY
06ZX3ftqZN+uV+QrWk7EfH1G9uYn3ztQdPt+mJ3bXvrdbvY79E+CJjCsao5XnPi8Qcgkll2qJ8mT
LeOWvW01AA4uWPkw51olkcqetjoSOpL70EOHPN3YBjd2a51FO1Yp5F+BlD80JdmYIU8ufef0PNtC
n1DTHL8DAErs/ulJ9kadbJXfT+NRT+V4LtNCO2pd51L4xSvqlrVpcGM4GhSsZlBdtiscLDCNHyix
Ta3RRY7f6a+9A4llu+R6fuengsFvkDOeC1zggQTzOHumOcsO1597WBkuE5GUCzkvuhQeIRRCDs8l
u+Bt3AfGVZWv4muUhJL0oczeub2zt+j2uzBTwyhDUmAtvj6LN31jTYeEATkwlqxPImvRqmtbrjhp
KqAOMAga4qMNDeOZvLJ8k7R6nG6S0fIJE2LKxESjAJuasYZ84fBWwGd6F+mr8c32aMkkIQGkUlJv
sXModLkghi2QIg5jLoHDOuZmQHxALJqbot7reuJd3CIdI9ROl9aZ210wV8PVPHrO0U19pmw1Rtq7
vgTzGvVOXTIqdUUU8KGd/LHvyLyH7PUdn036NaDm/mJK1zvHNhFomwxk0VWvU5pt48RIggv6S6iO
0nsZKqt/RvsOnSxx7B2z9QSrr6MfEX8osUFk4b5CPiEnhlQe2KUsWHiWmMGlzKX8QQAL7DA4MG+c
p9kpg08QoVd0X6YJBShg28qLd1qXpR9RY2aYDJXYgaOwmEQ1VuS4M0G1BHBFxBgF+2Ahqs9ZpulM
PN18LYHu3mPJECF5LgvrA2ZgTdGmbyTiMnk0m8beGVkzuGFrtCgQWa1vqmYBLBsPHSKH1N2Zk+59
B86yXLV9pq59hJIPjINJ7eI8z9HXGv1jUOvlS2LoZbJ1JCm5cEDjE7oX/US+ZLfzuF7Pepe4d5Ya
5s2sQ9owlc4LKEcLkY61ERGzBrW/7kaOE48bSJyM8ouyqncw55w9dMj6uOjU4m1Qzo+YRaydpgv4
l11+kyUiRRBQTdc5W6wzhwQDqSrlZvEmNhQTJ59VMI9Mta6NCpLLEFEDENkUE5Pjpuq51wV4pjaj
RikrvaOAGsr3lEQuktWYhkZZN7o/J5r97261pP6mhbd9gWeyWLtZ2M3uo6n9b///i/4fxuQKPvv/
+//rH/P/nH6I/of8c/P/+5f90fxbvyFWcT2G1pzpARbnfzb/nvMbM33cvGxF9Q+zwT97f+M3i5ku
7jsH6aln2Qio/tij+oSYrLEC/An6UJKJ/pPenwijT70/kgQck6sYE4UCetNPMhezg1JlgRI6BBOB
QSBdrCGS2PiKMwQwqOq66KaHxOnjU6Nn6Xicsnq4S1siefdFzoNwQz9cUlgVAZSvmAddPAr06+2S
INoD8op1odf3XoGMMgk6COUMSSFfG6lFqxLHj4tJw+jW01vJdirhWz1OXew8oE1Rd70IHtlRgUur
28KmUShj8vkMHg/CIsdsnG1yjPzcZzDhQmEc2kF/CcAAIZvTMvO+rufi1ItpiJB6Zhusrj0UM0+L
mIQs12BR+62hGcZ9DCo9qsAr/exN0ehh21goEGjdxBE6E2sKeynaN2sCjKXmPgCyTtDuxxv14bwX
XvqNzx9nAHEFekjBJ44YI5S/9xHH0blV41EVub3xrJEv7B2KmK1J6DtS6iqogucpV12yqUtff/Gq
QV3cdgo2TI3UoWLLQHRKL44kPfDqhj/PYZ2TttVnQwD2irVDmDJ2YWqSZaSMzb2lDiL3x9Xel2iv
42g5D2y2qyoE+mtcCb8P9D2dXvkki9IjHCAZjRdBAAjpx4vOd6OzXm78ttR+qnQONovVIdVLl/S7
Vvao2lnH7z9+vn79qbiyBd0f/z6a5cCHUa/5gZ7L7mFHG1nv2WtM8ItJtoN1rUUsboYIIt2Yht6Q
mVeJz8osDceBNMcr/G1pCm3KKNTB7RH+0y0A99pbympAKsdKQ1GOVlHZzXES9gBwKp/G3ZAl5kuL
PcDdGa309T2XyhoZV3Et+G1xyse+3/LqqPn73snYdTnOA8i08klAfXtIWyFfujbtr/zaCh5zbOy7
FHmQu6U3s06sgZIzjpP0OZercQzm3Flr+bARCBbMkwcQ91PDL5nz5IgchVZs75A8FPKEWVvKgCfZ
krdMhutZ7ok9DfZlaVo/Z9fCoxiLqmrgFkE02SYmC5JdkOtDel2UDd8LYU27cxtAt0xkrIlPOJxE
4wFZZq91HxOXS97tXKCGKoiJHvT4UrlgGIExzv7eWKVEokytJ8ifxb7ycSYy/iamdLsMWeXvC0Pv
H4bGfiEFdbyqHP259hcJ3nnqZp5eo9JgO0F/qhJSV3F3u+6OFM+YSQAqZ9rP+pTEvg1ObfTFjVJl
c9sjc7vrNYt+Tcrq1sls4zQSB4u4t0uiCjDiQXnuQL1vq1Nqd0UZFuZsbebSsb4sqEpChwkQuHVB
2N7MVj+0AeYQpQ7hA6NpXOxqvNcksQ9rCBfQcBxMvbbvWqu/sCph6eaT/ltrlNGDk5gsI6ZhdUyS
jcrYsARv7muBfVXikxy386J7LxMr9kuMpvRdijz/UQ+w/iQfvWoDkvMwnFFFGw1kdZljet3ofM2b
QkRKkEUOG/dA1Fv30AU66cXzZKTRmE4WORJFrb4sDg2Myrv0erKIUFWUGODrHLk3Ow8kvEXiLOU7
1acWMZoyiMpDfLY10xrW9lg7xPJxUBggTGZ9O7muPM8o9e9SIGTPAb+/haVSLfmRGZjXb12VEP0Y
5+lGk+5qxpz9AufL6hAN9W5kZJR6DQ7muhUbUZrpI9huXW2WUhQbU1T5GSUhmwVsYMgfctOl3HJb
Er6DadnTcdRAwCvsTBRIiONMhCKdd830UXssipLDfzTJpQzmJbd4iXJgc+MrcYvXmaVKjVwemam6
YxvDqdQjlH/9OFmQCMc/qQ7R+zfcoRAoDeQk613UknnysLD9fBIz2jFXQ2jCTrqZODUkTxjRuPV+
STieGeeYNrfDbN6zUeOFhlQs29pkWwZikwjDWZ8npBazFtTXPO3ldS+KRm6bRgE5HGt1IX/R+Yd0
9L/l0q/KJQMF+78rly5NPbzVf1mUQHNav+b3WsnQbWyZ2AkoevQPB+Y/ayVEZb/pIGJ0wLbsRMjl
+b9FCQo1XeePTDYbju2uLoTfiyXbpo6yIegiRsNLAejrPymW7DUF7s8OEtSbMNipzFbbzMpT+qRr
b1VTmDHalxuvZVO5KbUKFzH0C2fjdG4hDx6Mzpp8+oQszJUzeUlMZNZllqTf+9hXTQhJntMT6Ga3
HFPVVXRKvee+K2EGEVmpDI3sqpVXTVeI8jlTdnfV9Er/nlvJwjE6FssY6hRAzBo1FtD7THObL94w
eOax7wI8K4uVifkiWreOUqz2qEzMkvmBdItLiyV/Y4wxjgqpXemjxHMK2DTZGHmtzG0nxdcJ4RNL
7ZQ42GnRJcIXIifw04xOKMGDYoGIUzOK59pJ1wY3u5TAGo5jOXoHTYwUKU2Vt6HI6uVu6rS9mY8m
I73geSZOfZ9q5QDSM2nWn0qq/Hlx2J5ao9VuR4iXKasQosCYBBnGdi5gUm/HpswXRgGWwCoGzZ4O
vsGmvW5tCmVwRK3jV12NKNXMzDnZuepv+3bO3fPaDb7zjuDbJJUhFo/KbdVxEHav2WdPJEsRraNx
OKDu0u6F36ZlZC7mfCEmtczski5LImOsd67yq4kMBDtNB+uQZ0sK9mTTF+00emc1LtD41MboUZAv
0ZwWIwrlMEgEQMCjURVGMJ3BsJEAhIEcBZ7/QWTwvHbbEh7xOpHNd9/3wG7LLtCW74ig2vxnkBv9
TxkjyUefW/dO9b/sndmW48a1bX/l/gA0EOjxCvZMZlvZVNYLRqqyhL6JQBfA15+JlMqnVDrXst79
Ig/bYpIEA4Ede681F4hJWtR75uMrOgNog/+5ncAYEjEdjpcpYZdF+w8Lw1cFrYy5HPJT5uBb2qmy
uEeHpHZmRhUbp8V0283lyPQuI8Gk1EWznXFFAcIV4hzkRbNLeCzslywrDkWT3oqs1Q+9NzjkwRul
hQtUpTUq7h4nYICKiaqEq72x8iA+mqAD+11pz+6p4tCwZxzdvTVWW361einsfVh0HvE5ckmjPoiD
krZBrhgz0t0hGpVSybHxaOZIjsTRqYcvae5w9F8ax70zuILu2shKviTKMa/I5Kn2JF8Zh9F26q3P
212Xnt0eeITo+5oGwCGdaEjfOiJmqCQDKonCMosrS6BgjiYLAThgqPo0kkF+k5F7gn6kL50LdJDl
jGgFa0VuzttiYJDPSWMfEJO7H8rkxkvRcG4Hx7vgMQPPq4v4CxKKcE89yeAwt51dIamMBuG3T1BL
btzad+/XlX0bi85k5mcTcCXF9ZKjv0Pj0G8Cu3VhWLZIDh27NX9rxGzeNm6RfE6YrV0p6YAIpQ47
dqVHYnHmJYc8H4sDvDjMwXLNLSJ959B6KvyUOIYbMUu2LmTAPi+WeVsjPN/4RuxdmIu4F+Q0iBTz
bnpxJRHXUV7o6aIz23qt3FnrCEt2k0RTadoPHt6HHXNW+zfDD5hX9FyNfUHb9kSa0leYTOFGZTEx
OsYwy3B1mDifWnvS6cbyx+arE8zJo5s72AjI0XF/7SsCJWoqcP5Ga5xAykI0tVskucNYEmHiNedC
S8Yi9GZ3QGr13q6T4KhdbHdTSxERDeTO7anr6GD6Q59diZDRGM/7YlNyfR47Le9Z1s1DYM2XcEJU
6xZxiPE+bQk2saV/DpQBHpQA1+Bde3V6F5ZBRrhiU78jBQ6ZZqMUYaZo0vKZGwf7gylOsZc/0N4K
TjNSr23B6v4kDLLhIqyRFrEDdryZ+uUpMJF1ztpN/Mj3JZE88LqiZjDtL02ZkL2VDsZWT4LhILxE
99UNphD+Sbs8NOiMqajV9FKkGH9cO2+urZKmbjT6+quh63E3Wnb/W1JMxoYjxbJryrSDXmPZny3Q
QLeLQL076mC5m2u32Ysy6e8spdorMovMT74gAGtDoFYh901DN7RrpPkWtAMdej00D2TtkbA2T6kN
cXkwIkf0yW96ScxjPdb+q42AytguLK3dwpazSckV8CJmktO2btj5gwmVqB+M3rUlaTFyR9p7JxHW
U4Kv/SqY3PTchKq9kyIdt7000c3NYTp/y2bVf3LHhHaA5NC37cy5RBQmumoTaxjLQozWaVHzPGyg
vXxjzGPvhG5CRH9Wc81xKscwKtUFaPR0z1xnN8xFeC1Hy82oELM0JgPcKK5TU8gtZ4/8S9mNhKR3
ZXvtt8H8yZwE01GaieGDE2qU1UGvT42OM3oMsUN6dpqZt2psi5eKSL6XJKjVXT2UMcnmMZZDDcM2
nYLlSShn3qVmkx9mNc67mFFNZHo1/F+Hb9tsUMGZ/akuF2rQxB+eIFWYc5Q5Xb01MhdIrYuDGjmq
eSc7P8HThhz0XGOppudZTPOVi9S6oBVNkHjQODbXsZ8+M3hzmazgh5x1NabMEOPlLDLhfcWPZxqb
Jq6zO0CS08bLzfBlXtyOWfHCgz6o0UFHXdJley8rvAtjuPYx9keVRIarvCLiQJc522DSl0E2iokX
9qf/sk44Fmb9/HfFscVE+98VxzffflVvXfHn6vj3F/1RHYfuL4TeOM6PwQ9/yIg+CmdgiKYXfO8x
flcR2RTHcOTQD31wFVdtz/fi2PwnxbD1c6yBiWCIWhO4CU8tVurao/zRSFrag4FiMx0vdrWEY4oF
ATEgq8h2sCvVF/DsztxWJ+ic6Tc2QGSfxaoAdVctaLeqQssqWNkdfPxrtapGLYV+VH9ISftVVWp9
CEwtWxl7eFvDZ2fVn6oPKeq4qlLDPshurFWpWnyIVmGDWbsW/OPGnV37pl/VrSCX5N4cgwr5rFnf
9asKNvwQxBJIUDyreZrOK2V4iPSqnTUZMT8PZmpA1gqa8KFMg+oBp9Ozt+pumeagwF21uJ50lwck
vuphZW7vaT4geo17vcOv25+LlqoQDnqxGT2hd07KcDrKClk+Dlmu33y/kgTGNXESOQumJ8lT/A74
Z/oiq2KAS9Hk7dZORmsfpj7VnyvTB1d7+W40HRRBhlnri+LMewlk91ThdSCvC8IxBQQV5ca02+Wx
xjy6MYX+tdBadRHsADYBY8wuMquxudSt230hGoISQPIbPpVFXt0E05jujT5dzqpacVcpNf+2HAN/
RT6R/gbMIlulTvnRKJPbqcjzvZ9r4s9Tl+khcNajOTWUEynyl9oQBOIIiBZRD33+EzvjsC/Q1G96
VM+3ARGJx9mS9bUvzenChjgfAfXYb7ljN+c8FP0ncn9KzTZoFDukaNjRVMrcrmJLugYXZe6l8I0t
pOj6npRD+1M/O/0rlNbyt9nqzEdrHLKtxwHotupc48ZGlJEgyf3MtWLmJnUdsuUG1WdbZdgWg7be
1uzVu6ku4BSa9CAMW2kMCV13K/oWZJvuNaiRkVTFnIVDdoMRhl9tG///RiqBxNNYbIQ4mlHpzqG6
uF+1NviJQkk7PWbuX5nNuA/AZEYI+9+wjAZXH8hk/KftjaMgaAy1WVGKL4QOdInea0Gu726k+L20
i+Mcy6QNjjxCy295neR3ZsvYPSuS5bZw87bFBR0bYFbsoIripBNhJCev1GjC3OGqzjyf/StNzxnn
yojwgHy7Uq8+Z6IyX5TO9cULCybtTjdcw+zBRtK0crxXRrK8ypLDSmSUuAAZrCePIfq820A6+Ava
5DCOPsYTs+sxFXA2LFy7J4xtXApKJFH7eEwk/aiUZIYtPV2/QORMgy7KAo+HdJ7HJysUtMtnHs4R
U29nQaImOeUyl66e2UZa6ppyOdbMk3f0j9wdgiDz2k9FDdRmbJHf4pHYAWiQt1VSJbcqdaytJz37
S4kdBROtofRLF6fE1GmUQJ9QHNvJhr6RQXNOpEfqy+o8LAiFo8qgx7gZDemOe7rzJmEFtIw2yLmK
6sYoguTZF7UkSdZrYga8UsbsJFm7bJeqeS+JNF5r1Epf24tf8ZQv3KzY5vNoPCdjB54mF24Y0zJI
NFxWkaNgz4ni3GsEyYiFglbfWwgqXxRwjIGpNLN6uS+9BnfbtaDrrmnlYYYd4NBTmSQIm5Jp9nB2
aZNMtE/oHhkNPyHJwFvZr6axY0MDO6vPS2t1xrLpkc/pduuMVjF9UrlOgq9OwnmxJue3NCf3qcJo
L/1d0MKI3hvD0OfvM20OURwCfiLFg4tB2X+bZH9XB9imzQTw380Ux7f3P1cBv7/ke49M0CNjIIgF
nopi1Qz/b49sBX18f+4DODNB6vuc0zCwI0v613Pfdvm/XC9gQdJGC4CE/JM6QFg/YVXoiPnr21jA
ZOCv/YW+mvaOHmvV2td+3PnPM0M5TkvCwAOxlOZ2Rq8pt7ptzkigpYgaIUdUTEm3m7ygPAxWJy9A
zQbrs5suBa7xUmHR0pzsN1Yr2TYGiuxnph/j574gOLNPZvaTdrbYj8eAx2Hb5/1We2lNJPA0i4fB
7prXeozH20WFscaJVK/n/0UhE5KxmvZZ5RRHX+WgJlVBqLCPGejggeNsojblgcbcEq4hQb22vnPm
GflZqoMpOYaOWIYtYSzkYQ8lmZPlXBTvEmonA393rKKJfJnbOOacFZEwwnev2gpbOuk6hX9qZuXQ
WhEwJw7cq/y/9hrrcYZWPt/J1JXzidwazOBVNWvjHPABAZgw9AInKqvKvrcC+v+hkycPS16Mt7Kc
oDJCRNiiJqS4j7sGn+ik/GOFBllucqdZEiwpvaYRPxScOByl+xbhgfVEClzvL+12Isu8l8dYuNmA
a95KbP8QsN0le18BfIO3xPSzNjcFk6Ebm4CQWmw4AhonpxMNMqA2kam3AY8U1DXqSuA2JZttWzqd
/YAui2c2vdSWoOssHjXUr9EJCV4pMxUyY01UtWfbC5JoQDJP+ByBn3lMn2Q29pzKBZm0bgeznos5
jH6P0sUYmZJJk6Tno9lNIr6yVFrGW+l047pw/OXIRMRd9gaybUSXFcS78dz3KCvNGzFXeW+rSHXd
OLHhkq0+deJzQkPTWl7ZXOdavfeT7JmUusTplPH9fze8/+jgQyuCben/v+HdplnzJ/nE7y/4Y7sL
zF9WtrNpopFwP5iM/9ruAueXgI1NuHjNv++E33c/8Uvok9iIrpidieA79qz/1U+sJxbsDtDbeTnT
gn/gnRA/WycILBGoNKCCIRSHPvbTISieiCJPa9c90TCHq2jlS/GQrlEmHJjGDf0ixnVoFfYtwOO9
AJhMMEcPHbsz9ZNbB+2r4+XdC23B7iXRzAV/uJL/AeGLT2eZfH0+IGMVWDx/PqKFjGbB2obOKR+d
5s1NHQ4bZlpfalcz8JesenAu5rjp2gZ9xb9/bw6Zf56WEP/AmEQ4cAMwsXgftpcfD4jcWmXrDZnE
Ehp/rmRsM68dsvB6TWb1cMy6/gUDDko2exW1aSfMnkSusi96qZd3/0P9hvLYPiclT4uCiLQDkU7o
5JRsvHv/Qz2nVyFdvErqRGsTbWm2TrQokDQ5UfMrnbmrblOMDdSJgj6+GUjMqkwH/C0UQaq0YECD
Fdm9p4H3e9YrrZ6CkUyeRksXNFf+KgBUDWmuzGVrDBerPtDoV60gLa4wxX+KhBBBovliKGXsaLs+
DiBFoHEuEvmd77X1DQLYZGekqyJRreLE2ajiTcF5Ico/tIuLP40AOyCRbdq0TjH4onKsPwSPxqp9
JJ4wxl+NHjKY4vUgaTITRr66Sib5AbwjU+95P6WA/nSIzIFo5KmjD2XJh3Aw8nuzyzKxxZ9gvpaN
iTK89k21DVId7qaBA9B+tDWG2oxb6QGhYcIA/kPquThp/yiGJt3VvT8NJ/KHkNMxje8fNEN/EIn2
RA8684S5r/BSBlEd9wUaXgBFApFNsthXtVbmFCVJBlcGe/EKDVpVqm1uOEcXwRpZy46nosl1P/ug
2TA3evVdUSuNN1XSEh8oCnDPrUrYxNRwPfNc4TNiwj+XlnFA5o94NrUgtpkZ/YBx3HKnhifKlOph
sfAH4IhDgrusYtwAN8dbip/5uKxS3bBsEe1mOOX3vdUnCxFuVNAbHlIane8q+UU3I+ijBvqMqSl+
hnkwHIMpndoVUpx+cyZzvBUfAuKs9qtvyKuKhsQsgGHSzeoqChk3ZNH8oUFGXY8emXvvU5oYuX0z
FNngcmqLeUp9Qomc6TaSft2Mm9iOUQPlOq5FFHDwfa/zNM44R6v8YJlI/vCeViKC30n3L4JpPZrX
jLpU9jZmqMGPYT061m3XgdhahmWN7LDz8bOHQpuQS/qnb4th9wM690Er7gpp9F9JEs7LrQp7ie4f
SUi26wdVG7smDubrcRb1vAFY06MfH40l+zTbzTwf0YmscQFxDW69qVWVgA9Pk/aLg7sHYQe1TL0m
NNaKg0phHpE4pTwK+vqiUgLmttK0m7eugWku1IzriySh5jSTkPTA7G7dDFO+f7Fk9W2+DABxByD7
nI5D3k2t321OUYlBcRDTTqJO6/AXON1Ln3k5J1PiRY2dTqgIZIOCCtx1+0oeX/M60ThCguyO7biF
qmUHO8Qh2ogGUw+/mrkazGtI1655Aw4RpHxrtc2b6sqQnG+jROOwbuUh35z5J8PNHfylVThl9OON
zqzluexIZ0THOdkLMxkdQ+yGw0Cc8/zmDgMJn+dgzEz+o0ggirKOZpE4xL2JZRo/1zhJsg7pmlu/
wQPB9DsrQhgatXg3shN8YkxUjYEXoM/y9WDbwve2ytu5TglR9ZrMAtoocn2PwN66dYixU1HGpO1W
uSWTlTrhMLkN5nEku8HvcYyP4GYvRAH6zLD5BKxd2iunWohgvHEkbYEIzmE8bElh9b8YIwImmh8K
OAfGsNWsEXizGQ0paIIolf702jAaIdBvDqst6qgmigPTOSXMVXdgGZpfO9E/2XryTmMY5u4qUJru
B+LKy62BFZpM8XTtKogAZBaDXs7KjpvHe4HU6Dq1R/TWhkFbMSUKByLVoMlcTAf3K/Y66KSjLdI9
QK5dbmEP2cB70henpIKmP5ni2iBUJuplUJ605IC7C7QSVzYD6VNI+UeXoovRsvCcIZTADkl5D8kE
i4SsfIsmfYe1Y2iIMsCX7NfzAa05+Asxernaso9Tua4qa73qrbtVef3fwvE/KhzXyIsfSo6/sItW
9e3xrWq7NFPf/lRB/v7KPypI/4NJRPeQo/IP/CLfQnzrc/41AwBCv1PDv1ePNNo51bohuhEa7u4q
A/neM8evG1Jwctb16bpYpv1Pqse1OPwTJpGevI3cBWMcn4Lm/Z/LM8fwdAJaYSHyDkWFvTDrBD79
/MNF+T9qwJ8r1JXyCG6Jjw1Eif/4qQbsmxG9YhggiSxITtB+t5A+OfobZJL935Sb9BT+8n0cLovv
Oiia3Z8Do5qK3l2eoEDVYwaxsMwYuVtEUgL3hfBDks2xEorsjcV18PrOzd+8/V8uJxU46V9AEDgU
EFlCZ+THetMql8CdKHuOWAsercp/CbJu++8v5von/vSLrW+xarKhudOB/hnOS403D2Ys5NEV0yOm
v2cKtGYzIHNCiCJZpf86B/0fvxxK8L++nUMJjKgJOiinIBbij9/ITrBdaIbmR2ey5TkpKliUTWhU
MCppW5aj8+TEk4RNk8ge9aTd5FUkAVLAksKmofAfxUxErYR2MESY4kQ4Z0iQcTOGklZ1mTQRnUlq
K0uKdh1Th3hiQ+tk5ZX9q5VPBzqX/W+1sz7kVG9azzPp3UgMQ4R8PODtm1QODLJTaG8DVpjnGanN
BYXChOWbeQRjUBlWj55bJi/Z7Df4lBQO5qRxb92+Lh48F/XUiNcSCnuf3AwjT3wamzFPFow9DJ/k
fhyW5UTr9XrIjXFvV9Vvjl8+NJnzFWXOfQ+ECW1OUJ1bU39JRshY4eqmYJpZRRXP6m3RLvJQUI7h
ARRbt8unb8g1JBS79LadPQNJC/IYx8KjwuzCu9GaoU1oePGZZsizb4j4nFO0bJjPtlE2jmSfGOEj
DvJsO4s8v1lCmTz2nlNuENluzHBMiH5dmdxTPB6XrIx3OWGh18h4NkNKeCYFFa7JBO/Yjtl5j+J9
mpPwRHN20Eik/fBR+ugYU7p2Gwsr6aWl4jVJWRcogCimlffk1L7xkhajuq0bwd8JtLYeG1EgNVLZ
cKT9yBFBKRyoxP2lV3El1XWDh3Rn1bLYQ+NgiVQSHEqD+TGfagFmabD2FI/ms9PAZaS80Rsjzazh
dchMyWTCnCFWLn7yCNh12dVZI3DCQgZIpdehOc/W/FJDxRcMVeq+XZiWV6q7xOFsv8ol6B+dwS6O
0kjFtdC2d6zw6URgOLL90Nf6gP/gNUUjgk4tG5J97tv6iBE2vDfBfx0M1LPXS2I0d0M5by1oUteJ
ZjoBAqo093jH5WvjuUxkMq9lDqbd7KBCZ7jKYnpARHx6dxl8rzi2SZ2Ke1+sVfmXfMDkycte9Jic
cTmtDcrpvp2LJ8RXTNjG3Dg4VT1e9R0DzSwd0WMMyXRP+LM4WDYAFuhCJZa/3jm5bSev5sZcw1kS
t7nFORxYrGjUioRFJ+Y99fz81hnA0kiQZi6a5MZVn3jWwdZQGb2Sem+bV0SlFMhqqYsl75YUq+Y9
NAx701hE3MVtOp+1EcSvCHtr8ONJeEjieLrS6GWgjwxM+0MjPTB0irn3QYBYjsl4MR6YobkFygmv
nM6LlYrLilHZx7kXPjdNkzNhy+otFtw3+HEvoQCHl/S9+ZDBwDpao/3F53c18D5/KhqT6sznStvZ
cu6dZtiMMT6uxTGA/U9jsZUB+czekl8bnWzv0SWUW7KA3rMkoIAiqJPjdpyMpxjkz04Y5r2eUe+D
3Tli66YIhul1WAr+LEdh+aSE4YPE6SZj24Ln3A9WY791I9HHTdp6u07vZZvYj66LOR1ouKpPtT92
d4PR2oBfzOCUVZN94JTMUG6dTKXpsAa2Oe1yE5cF5a8NvwEzbFBe2JCWk9AhDVXLfVUNp2eQHUY0
IcfY0MvBsmWmeBXqQ8oDIKpGKmfOtJxEykrUN10VnMrReiqq1IysWAArC9TZUQHSGaSK27gwgusk
Lr7FwOLgFnU7f7Cct8F0WhrJ9njbMtgOIxcP9ZYtwbvNZgZyoSfKk1dZ6ggDpkBCvUyfydywUY0p
3tkMseptSo8bKDJqvcoGjfJFTNJE0bE4+NpybwuFQ2xEWeWY7N3ShuqW9phqWV9Ce/qdTjMkIyih
XOYaX5+fP7upC6EqzJqSsSaoAeFoXOpgGHdlQIrgsPjo5+1somfSLiPD1cA44ini2Cz9r/TIQEeN
Ib87Fp78hDPHf8Q1Ig4I0audshzc0uNMNljhWCuRMD0OWbOCQQb36Paue+tlojimRpJ8CdxdlWTz
oZzT1TGX6if6WJhanDBgRj2Xj3aQiA0xLhjgjb6wPjnS23lkf730c+F80aOX3njKW16wNW/xR0wE
rLRK3Qyi7fdY7lh5ANiO0BlVVHosMh6ev4HusGh+qGLvJXF34vk4gWWw2TMkRybvqhcVnfutVXbD
73XFf8dhfzsOAwf6Q1X01yK/UX36/zZvNNmyn6TjzA546fcq3/3FoeHrk+izVvX0HH/sEyOkpfw3
6UXSoV3xO39U+kBJGZ3SunUDVCa8jFd97xPbv/CvCqTodsgyWlvI/6BPTPX7UynHqM5iQMZ4zAqI
dvTXZukP2HV/VTcCqMqP5EiR3SnADBARRpdr2lqjYtLfj63ZRIHppyTRW3PCSRy0QcCGilFhY03e
qolc8EvsGrdJJCKMRkwqauEg0w1M7e69ytzggiLHObVoYG+45Z1T7wxIOWaLxyTNWBv7nmAbnLCv
0qMpsbmh3QkuIWDQ1xoz8GtrLiRsjXmXtRG1QXARKXtVrUZxg1fNqDcNfQRvPQ4H7cEq/VTtusJY
X/IR3lagjrizZB8+D8zOLaSba5Z43wX6IdFu+FxlQj8o4u9OcbHm9Nmt9olUs2pQ1I2rmuDshX73
3gWmeCzrihM1kewGjIY1NaB1kErPpaYxUwzsMlhvHUWAm5WQOSls8Yhf0n3z14C3pjGGoz2m9tMy
Ab2ubXIJO9tEP+1VnbhJLLDISKmT+Dn31lAfuF6rgDrMO6S0KJff6UNzBWqnsR6JGm1feYibY6Rt
xb/maOJ3q8Z132YafC3Pej4ABwI+7VTybqadoDaMAX5sBtujgclwkW/trFmZAQ3S1zI3+e5h6YLF
GCbTvvGcrLqqiSO/sQtQnQFhdJGaMn2dx9l4spsQOFiGCvyPbHbvIzi80hUBaKxrrvDvP2hpJiQd
AjMMn61h/YWp7PQdP2nXfSZ6BpX9tFJJmGFS4W/Nriyye4McmBa/ds5faceUfwYdARwb8ui4LhOp
9aA7PmLxphl5MWJiP8kOzMkg2LXrI+8FtxbZbmW1YDBjtvZbGmOAoLtUh89zOT30S+fu6VF5zqaM
sxhZcpff+4wCnajUEgi9qKzH2mEB6nRaV23FQi80eUj7uU34S0ts8U8/RX7EJ2ERoffRdymbNmeb
fmQ1WKrjlw3t3rd3tBzJ5XQECYWl76+R7knH4jMsEuFiuNXoN6a2fycPHtyj2bfiJp0kNyEYPX7g
BjYINLYwIYuvAJU+n+s8JMG0CPE57UaWKOpUbstL04bY2XwkIicjR6KLiNbmc2fLQLBlBXj3wcY3
FUf1RAMjisVAhKJewbz1YoAiGNd1MjNzfh3Wnyiwe/tUuUP7GoiOP4Z6NDsw1gl3wCKzAz27kEwn
0b6qFsrjxxLODJ/rW3Q8PtebfRW3vsbeqB/oW3JJpjVs9SOuFjocg+QUDdeeAOHw2bZCLlxPDJ6N
bzxgwQy+2VyVwO9YAestge0wO4DC5eLNKUxvRq72KROZfAXYRT4TWC7q1sETj2A64mcjN0cjahma
4NKU8NpL5XNzeg3hqzTos0OZusw+pqzi65iEMmad5gddhWfcD6bJAiP6gmSuYuT6xJCtHkcy0g4z
QV5WxPnYPvlpE16mpgwvi/T4CfuPqPemFcCHSyNQwWbwu9S+yz9iPw2FpwJX2BJuTRJrj56rTJJo
8/DiSm1sbcThitSkgu9rAxqa9ks3D+ku5KagAaOQ8tMFZMeqLDTyD3On8fHkJHxngMIONjr5B+gm
zolRkYFrR5T8HYfjEOwhjm55z5Zh0iN47N124ApWjn5oWeiQi9NCvhZmLAkQ6BKC2FLr0bdZ815R
gvsMUoYjnzoybp2jHtgi7YUvrIuCFWWEYCS3jDzEY2wuS3tOGt/VO7uu4HUg58oOublkh4FctWUz
TvxKZbbmImeksO8Esdk2ZwaHBU5yKz8rLW33zQTkSAQU/d5HSdTFY05MBqYHVdloocyG9SK6HqoH
icqvEy5uL6qwLtxksDAeKwY+ilML+VO7MVxXji/KZsaDo/jzFtXTe1Kg+M/IBbtDPyQeceuEzypz
RX7loD8/YpFAmfmx5h0LufTG7PnOG0uu6x/mj7gZspGUW1cQHQ+bkrcYJyF7nEUuHBQz69jfVNcH
Wzyu63oMZ+IrWxmEz4a9Zr3/vqXlnciqLSHHLCWYVWo45UEnsR3QLFA75lTizvG4u8qyoDgnDCE2
7VLvP+64agycZ1BnmkwW6ap0/7GzNk0qvMNEs/pZZHZdQ2RK5uLFRe6ZbUpn3aXEOGUHpmfuW4j9
Z5cPsroXKUlxQVK/g0IOT6plnoDgzVwfznHCDhyWC6nmi8tGhpaMOzjANg1DKWUOkt5aczof2X7s
atqKZKCEiJKG8//Ga5bwqqq7nrg4P9YJlyQLy/slRyZoZji8N2VvJM88Sgnm7fHXnp3a5K6hgc5e
yz0JsIUtpiFoxkLGiaree2/q6rlJhDojnxkY380owqlDbPruTnBqwvVB1Hl1+YgSsr3iGRPcIfUz
Y+7d0d4riQVWCtHfuIx4rjp8M5sRz8BT5ku3jEgF/iJ7a2dYjUTTEbob1fsb08+5B6KhEpUxHft+
PnXp0F75echh5w5gc7OBE/4CBHrfct7eGxju7yCYRHnlP8RIoMyX2YObxHMCLnd8wvVUsaviDyMu
Aj+vjcBo25oQgi3PWmqgTThJIk86+aZtrOoooHumKPPbgPFpYe+L2hpDOFXLnvHQdAZkUxQb9IGQ
v3Dup/N+9qC0HUOWJfOtbkAxaYGxuuptZ7kNdO+fO2g3936mUfpqg/yUahJPjhibawOHwG22FMHZ
t2JWr3AoStIA71WQt9hvW02EfAGHUUHDufbtxIRgZLj6rXSa/Gn2qydCV2V5KWXn3MsiJfql76aA
ibMK98Foj791swp/TaEvIrYMrWhhkTEj87NtgLl5P8NYRkcKWmbWQOGqoMWz4zioglFO5deBSvP5
muvlved9UO+XAUX0XGbmLsmmJyY37b7IAOT78fRlRF7lZrn/ayL1/JC6c70VJZpGu2CkZPWuuofv
RHQZguudqyv9lZnZowFNG/tM110HWbrcV8vswkUZKqbrhnOIQ6A2+OudXSK7R7kOsCPlURntugoO
I6G5bFEkUW/cKW13CXXDeaiUOFtApY9u2HSnIhycS2MvJspNXWNhl+4n7dFN0VIGOyNcUGSxY9GU
roo7pOo07IKzsRTilocAnEBnrPdJYHinEmr2fdKACARBeLSMTh3QUFKzzozidBIOJCjxg3XZbDBc
1HLLATPE2eUygKusbV/X5kMBi+HSzGX/xBjMuMwVyZ2REfi8bqJ2/bUfS3pAMUOoc69rechJe/+c
U74nUTWQPMD6topHS8XB0Z9s48b0pLnhyetvi8DZI34Af9wUFQYq338jK+izNlZbPXmgtHmV6vYG
WU8rjgzFwIza4GDGRbpxg4L+GbbU7UJv9hAnaX8aa/e9Jf13Z/Vi2ojWLNfdSpxmHHBvMaNLSaJj
pz9TEe+orhWVYGbW27kwi11Pm/oxluwo7PwK0GAjcMFnlo9OC+dnldK56yz6Fe5UiumCGYA+XGsP
OYKAzkMMLre9az6MU1GKXeKWCna7LxFzPWSxQAws8mr1ZC7dmLyz+Sf7NLckgCqInTFzyXaTpDE9
7wYp/qH3UoONSWXoIophejY40wc89mLLA1Ug0q1CIKvyVO58TzXXWcd9keE/fIb7V54WjwCAUM3F
Hlr9gp/f5L/mPoYZFHtPU6KJHhJ21TjGGd4/hR8baQVtOQzt5JLI6gbkQPdioHS4wjVGGFDdbXh4
xZ8q+I9wMTtmsgNnFzwCKFGyl85rB/NUFXAizoYUy6owsPMQQ4E9SPBuYlWNJBzcEMYxL6WapXkf
0eRsgtdYlmzqcZ5P7cz2PZsgUV0MX/R54Jst7sYqHcOMkg5APTAWbLz2K04+nroWsCqCTrPARuk3
xW51JU3F/06LbxFb063IfR6VFaqdO1CDpiqlXqsnaEsg3hyeTZlsy/lsikU/zNb0P+ydSXPcVrpt
/8ubw4HmoBu8CRLZMtkkW0kTBClK6NuD9vz6u0DZdS1FlX09r4mjoiyaqcwEcL5v77228chZFLBW
O3EsZwvZ/J2T6FcjkW8wzxPjdhwPCsRqWP15dh71BjWjTQ6NQ7qMJx9HwYGmONyOlECllqweSPB6
4rjUPEVDGqxkfsIFMd4PYkTvT6ghfSZ6xeEdIYXHtNFzqtag0m5joThNpDEG7ZUsyJFiHT0rX6da
G58Ow1vudjOkOvYU7z/OyCwW5/tBrUNJtRCQxZ1BhxMQF+preKy8plVOxQ7+IXBhtttwIPvTAuTf
yELmr6oQb4eLmcTBw8ZGg9Kwn9+OxAC+BftL21uJzUdi1oqGcW9YT17VzKvne4jVw/RG7aEyFbPc
XCa8rCUd1MPsO7xbsWVwWLIVJXcZbk0+bWHyz5nYc7z9mFYtk2BwMHUUCp9xbcXpoQZeX25IB4zx
Nh7b7qCWkt9OATqzJOF3tooe55P3v/7LfljU/qy4+caKJbZdshsYmg33F/ly9GG5WSygD1U0EmL2
l3mgNcuh+TTobJ9mhKopydTOsn3F17vctz0bhjZhAk/rubsvscL+zSv6d99GHNiWYwnXMnh4/vz2
azbk+YGnPZwdMENUxjiEpFkkPUsWM7wJ2jq0TqYp34WBvaUZmQqqCULY3sDpkm6kbNbJiXHkr1/Y
+rH//E4Jm/2XyZ7JdNk2/fK1QF8qCBSn2SGqfb69ZQ3G6EUJNchPYlGq3YnS59BeV2yaaazNOaP+
9Qv4N58Vnj/cmgZqJXZAcxVo/7TjmhKa5xReqoM9+/h6o0rGaTj4RmTeGJpMYmayqNmnVprEdBhH
qgL1IaObuOqNR08fjBv0J4avv35V/+ZtQdGwbJ3pFhn11y9QZQ0RBBcRHyq8S/t25pBMdWTN6LZu
qqk/MBkQhlIxQ2hj3Hz+69/+cW/65VPh1+NEpf0TyJf4ha9VAcIbqhErtr0UbAwyo11YWcvWKzM+
EJonweBbk2c95m6kHY11Sq1EIUCyiLbBxuMscEwCnfL65NCvi6amjavsO24mRv2KKM+Pt+u/m+i/
30Sv39d/6fP/YRMdvuZ1//qz24SIxb/20D4b5dXwykPK4mo019zFn0OaAriJTsPnL46TD4TJCnOn
OksHyMaX+A/Hif0bLmYWxvzYj06tf7KHFu7PHo3VHSEs2ndN18SoIYxfPRroJ410Ztc8K93GormH
kbn0SO6mDn5bXmu9YNVUkisIRs/O6G6mhvAz2zMHQTo1DnJstDNZgwEkpFbuYlDbyI9KXtcxdbOd
NZy8dnJDUfhAM4FpP2CkxLNQxWieqbciN0rngY7O+SkDVEvNfI3UajRtHZQSVIEDDoMRjrpVk5Us
BsIxsmjcwAzG6yZ1bcd0xiXXjlV2JzBSoH3a6DJBb52pZ1zv1is/xTi0srECj8zmxi2ckyEQ4QZ4
ukncvg8sasMha6Buj1226axquY4Aem8BfIdMXF8TDfxRW0hty9GKWnLWLXu7bnnYx+Z+dTW+YADM
trJZoVswZ4u5u+2AmW+57/evndmzC3VLVhE2aE2rdPj9JcwC3inBTOD5h0UO6b0bJzWteIZiiWpC
cquXlXPQgC7ts9tu8XUsB7nakuCCAUUDQIC12SJrblvsd6E8TCTBgpEekxPT2HVicPbjXHrv6+XK
tnf3fjkcGrFK4AVI3wWXwwbAhh6akc7BJ0M6S5Znux+BPkG+2IIcoGsdnAEVo0O86UC7ovgNb6XE
3zHPGCwqI73CxE41NKiTWrk7LYVOZtPsFVJrpgUpj/GgtZ2DH/mnHj184+UmngkVac+LxYKBkdKG
PwCNwRrmeWeK2EdoL5ejye35kTIk8rU4D0N6R2immQ1Y+VJjbph1EVa+7QS2F+/nwYF7wi5p6xvZ
l2ZuxFWrQWeoonJj2lYbDrKbAouhJrEGF92OsaUg65dn7WMtnWdvVufMnNwghlex0yrGWkNXyd5t
yldlZ1+ythf7DPY0m++p2qKyaqfW9L8JtrZhP+ID5TuxappAvPlKeF18ocsKdToGn8XwA1k9xj3s
GRQQyALMdG8fWzMzvixCGUis8mrW8je1gJeeMbBvszRbDnbF0lSpCr9AwXeBhG4bunEjDomCwSGS
Zd6wvWxDCMafNNnjvXFnHOEkTKHdLu0eDVtsa8sHi0teZxdZ2VOHj+y60pNyZ3lvMWmDE27YdmM3
jvZYwBqlaMxJROgWaXpfjrm3qST4tYzi+T11cN0jEWMvNFw/v1cYk0Ip1TVEvmIHJGbagmxwdorB
J7RJbWyrmVqy3tR0Csg6RbYrL7ccLxM63HIzhJuDtu9mztFgjN1gBoC2bcbHHvv3FaMJJaIs5Z8G
9Nfd4EVWaLLe2DixP4X2BOpft2mehCSsP1Fbpwe9ZsD9HltM2zQG0D0JCAjGRfWQa9ZyRwupfjJY
h9hghgEUbSYNOC8k8wnoXUn9Le0MW2uR+Y6XOpxdPEz8QY1CzLTY17lzw/LnLUU7JvLMNDi2xEYH
ztGhq3g/G5SMg5sUGWgn/fscAcCdp9o+rblzaMv9g+6lRx72zsmjPAjbun3vRFm7ReGpt4k/U3U/
FU4oMJjjzfG/AlK5T5G0UAfuiqGiijhLjf2Sat9KoZZd0YF/6d1zOvHnpVvtJweIdkXv086NtW6D
x6YJl4hzd+JaXmCI9LWtoY3Q5vAgcY0c3JGDaEGVNU4GQNyG7i1bM63puatavlKx010vprsbSvPV
b/HteynYtJHA9ENkJvGmdP3tsGhYDYwM4kj7bZSs6FxFS5PdZXgrCqhB+IvzXVaYtDssCB1LnxMr
80vvkFBkUBfmF8eR5wyT81Ha87M3SZeBDWw0lagODYZp9ej740tBLi9sGvcb/V3gNyIcV1NcPJrG
cOWKvrtpPPOU1pi67Lou0HVo9Na7uyKJqjCy4N8SWPjeYd7GzkX9uq2Gei8ECfCIYPG2hR5/Ronq
9mLuPFxyYGEKTG/Sgqm8eP7jIpZDXVTGlXLwBYzm0u56D2Tv7PEbKwWCH/binYSYkRk8hGYtolph
wlqRG3GxA/oMQby0H1Y1LHQAJ18trTzGHVFhGF0aoKOBUrCExwtRSOdzkc+fpmgYDu7ivteDibwW
Fwn+lp422mrWdshGLFfK0b/ti/FOj11C+kKsL3y6bloZbXobhlhJF2SmalKU6W5uU3iluNCORqK9
DH6TBS08KSttsLkUw3D0RtVxr0k7suiRc+D+m57wy2Pw07jLTR663kBRIIXbJlAxXN+7mHXTjvwO
/RCiMfaxm71MY2rj8/Iel15eybxFe9bi75bWuKeiKkBCuwVZjcYxdnbteltDlPrJa5DTCBRUEJXq
aEcLG73D3kJW/q1gEO2fBPglPGQs3Fq/OsxoeqKBmwJ8YXrumfjcFXDiyKwIWr59pXcb2Z1PAsNN
UDq4yHA82tI6tJRUjQAOGyCiT9bAwRjf1kI5CwFpW9bcven3hmGTwj4wI/veEuAou8/1OFeqOnXW
KF1/k9Ue1lb4qkWqJUUALFF13Y8S6/8er//meG1ZnHr/6nj9+K2qvkn5DY/sD6DK8f3//7/ff+qP
LKBBWRLLgNXD8SeMsq/DRbE51GKs4EbHP//s72BlhLEalXBlJa+ukD/8HeI3f80N+i6tQv+4j5bJ
/5fp2zN9LFm+wGjg6Pipf5m+3aWztGSyq6MGa8Ogy4Py1mzcgmGaANWWOmffda0znft1EVrKlgbt
dTmK4Ooe2lKkVEFHstyaBJhoSGGhOq+rVWddssaxg4F06iw8Uc78qYQZ0IaLZVuvtCwYR3Nd1g6+
PW3Ye1CCELnvQ9Ww0rVQGUkixSEn4XZjrKtf1poDerKuY3aw2Awrf5Y7OyEfUlCyVATZUn8SqGhY
PmR5HKBsIrU5u0ESmdP7Ud+MWRrfGutCulpSbtEJUIxglIKNNYHL+lNiDO3eJCd0wqzHbhsfpPMW
fWy854/td8lh+7omzvaUIzDAe1H6/TB1ZlgV7mUcDP9azzjIeSUuMFhX7F+tHC+tO4xhnrYwzzK9
26Mw0wOfCo5ULOnrpnaPHXaZHdinJVDDaNxWrn+KKzqk6jm/wzgJqAofQWAsk7clT1gHwyoMdCuQ
bWqFvtGVELT8zfI4SKUdIk0ZJ5En2qmQFZB2AFfg2nEUS2pvrxGhUSRaT1vxj9PwCCiPxTlbrHMc
lfaeO2bJAEOpHtYLdWlGU167dOCxLDYfnVUIWfIBD+NEzjByc3lROXBacA70RQ31HGoNcopYhZUB
hQUXwhe9TCVjkpUdhpExBA0/eh69tN6B0HDevZT92/WAy+c6tsu1uXvVdGaOPFtvZc+D6vcOrJ67
XeuYOJdXQQiUJpvUVSRCFKI1pKum75iR/Z1az36bNmKrxnUjLmKZJM/PrHlKBiN78uZ6edUcJlYe
jbZ+DZF5vPK09TZf6sgaqY8u02D5DLgV42Reha5olbysVfwqUMFwk6CHaZZoD95Q55e5bsm7Vxgh
zbLzr0SbksYkRJ51m9TQSvcwaEO67DrmIeCKg0CJU6so56DOZR86nZpXWPQq3pkfOl67SnrIkhl9
jj46Hyg7HW6hyYnVmhQIfmwKbiiNMg1mU5V3RK4OrBIpoaFg9rpzzNe6aN3o3CIFJ1eNUbw4tH/e
Y/mhBscztKNMBxGZ+4Kzbe7ieJwq/6sS2AO2NOOqWzXOkCgHOoi+gmGM1BmgYVB5/fBkNzPNL6RO
u2HLyeyRvjLKb7sB2aOo/NNUuya5wUgimDSJ02Ac0MpsWqseYsY5ahOezGIS9LbaAJj7BEaxW7sn
7OWe1MLSzkz9lhsl73s5wtyGXre2SWBI12Hucg7a6Dyyb2gIJhyhY1NucW/Zi3GpZgot3rOoBZ2U
Kj/gDgeOTWhiqw/1A99cO8cUUw7467Fn0N82smoM9N7P3oALLtrBq0bie3ZdUICJex9I4ghcgRXg
nGDEmXD1P5dLY7/mJLL5pmAojzmr9BgSqlU1IGAq3ulv6vM95UVjw9mIMGQ4AuzLg96IIn9b2Tm/
UhUxS3wAkxgKqLsqN7ksWL7rE44V7n38xj6PsJWQ8uMwhoM0s4Ix9av61vUWs3Y2y9AmVn+F2Gzr
YIAxrsTu7OIEolHjFtfovLNXl45O2RfCo817vHHwTzwWazd3Rz8k3Qx1hwinSn/agytyritftMc8
pdBEzHZEf9la+G0OsBSw3iV7bMnevl6bwSsqwlXskxXpDLsGlLTa8zn1ElzrqRUvhOdyUX3UjQ9r
83hPInkFQezttZWca5VDjBE76bZDldR2OgLcA8Vb2dYxJdOlNbFLpMC8uiEYBwdxdJ2b3mnHz8To
KEXH53i1sCgNirYzQgxW8b7vMGcFSg1MqqVUy9d2ad94RnU37L6heLOR3KQEFr3A1Fv9IVZGtJv1
zHticyQvQmgRD4eqwCjrytu697RdoS36aaz06KvCo3m3REYoXSc+cuuMDuiZ+qfcNdIQv7P3eTRw
1QZ9ZDaHDGPOlatcdS1s0wuQk/OwmZbsS2JaxglW5XgjQCL1WiUgdeoq24C4gSyRgQnZZkuk7hwf
biQlBHtJV8CTcuv+uDjjwMq9Yn0zljbgJoPZQkltBDgO3BQHGLSNbja9K2wcDfYfi5Qn+6Bg4vcj
lAg7MKnJC2Lm3btmiRlM1Ep3yvx47/AX2DU4ltBagcNya1Tik4V7gmeh7Tevo2f214arjG8jxvWd
3StrC9PWODiytV7gOjZbqgHisMEItMvg8G27qi9ucn1qnweuw2vUnO4O84t/9qAOwe+usjMYfhbY
VjLe0BiIAs5S7gBb8EvrifS8gKh9iWBO3kSRgf0ykw4nATD3DLAsY+rS0m/knJT9JuXKv7Mzd95T
NNG9em7FrsmhKnBW/aVjTCNPVHrOsfSlf4EYr64M0LBvE17VoJlLnUmv1o9gwV+ijvA+HW4kGyq2
P+QzrS0tBAxZuqF9mqtI3woQ59d2murELSUII57+hC0IdYTCSIi+0tv7pJkYWtjcxBJvJW4fXyOL
KsfZ8Tctu9INDtUlXddv5HBKz2T603PHiFe2ORRGy+OipuQhJOtkv4KD40yB3Y08t55xJ+gIrDLF
jQi77oOFHB/zyItLkMyP0oGBfPk4tP73fP8353tUJ58j8X9en9/mxSuO159X5z9+6PfjvS9+w3BN
uptrmlik7bNV/9fqfMUYOo6Lt1s31wHgf4/47vpvkOLYuq8Txh/He+s3Epw2+ANe2fpz/wjzwYX1
8/He0Glu8Tnic4YzsRL/erzv2JFVs2O0J9FrALxEwf5p7Emk9d7FhtrAw8+H3xNQFajsbd45g/aE
ASx7Z1lhogrOxLXxHZWln0Z7bQAv9wg3t7giyJNmd71TQd/uUvezrZzqlLBXuOqnzAx9DcUOM2ha
nogBkUvIfUiqY1ads6bV8GwnTU1Cf2jUvlwY0zndbGKVmM2uHKfO/zym3PIP8MZRS/t2cT6N0zx4
dwtTBr4XOkDJS/diazlrU7IfN176Oq4FygNW9fJQdzUsoAbmsXPGoJH08U6jj0is9Q8pVX/lhIVg
uikSVA93R0BENTew/PnrJjOZccoAlkxEB0JU0PS2Zd3qRBcrW9jgnwG/+hSD5gNushvPpDh5YlfN
+0ml18JJo91Etq+zqh9HWvmMJDL0r9NUyElt8yS18bPgrbBxfVQsFvJNOXRKWwJnwKvDUcvUSrYI
LIOKIPFUK8j+ZY1Qm9wZY/wi3JTMBBgdsbtaZe+YihZpwyYs48UOx5h8YeCaYoz3Zj5H3Y1b9tpR
n8i18fCLmJk0K5gILgaZTCqebdq4j2E5sYMEdxJYUlfBCKDuYnDK2Dl+s7wC9ibxh6V6Q+9pQh0J
HjaglPkZJrG1r6Uoj9h4h31ejW0ftFXtBMVYrIubmYLphNxeWdUhZvL41jb9ajMmxRw6ANxC0duA
RJy4PkjlR5eunMqXqNL6JsijwguUNja3ReY85XUZXyxMVXcTTYwXFv7jZ8BRc8iBJDp1TTJf+D7U
OB/rFI7BHN0VZr2AJW40czMNA2AK/GrhZKTuje/n0XPCUfYwJ452q6GpsqHsNMoX3c46R05U7DUM
5YoVMtLIM/OkzfhVOE+tY1QPuHNzI8BcEWMfy1pr3mBDdOdNjUp9rFhd0wTcMwoP7ESPEziV/VTk
8bNFL8+VrwA6B0ZjT4/o0IhFFJhBMxzgGn7nSUxDHZwq3Hi4IyumtloFC4neO+g7TIiT/ZgRsZPZ
ICxo27N7NrCYx1ANVFFROzKMt3j5zSvaweuDELiT+mzhs4b21V3gq1TPnZyr/Ri5zdtkJi9G242b
vvC8E590uaUgRmwW2XjXipTCJXJkcqrYOT7GNLx8GnCllmtLhvk1qzv9SlMVLrm2tdzTVMz+TmTN
N3K50cGw6dkALY71JHKzBz/3hk+6kxUvCziMF2vq07VuwMtfWq3yQeVzhTla3+1xT5hb3536XdqA
wK8hs1N7VOwzRuTbyq/s0zRLQm7VgrOd0Jiv3RpUzgTKVsyhaJrpXRVlMzHDBjII3egcnQ0O14nt
zbSM9poMhdYu23oams0UwQ7lfekBXhf052k6gpecTrXuVyHYI/NZuJp122vdU6q6h6zR3PfZpj6B
dfIKxsQuS2Gb2Sikny4TVyVu8LPeo+jBQ4pCN42PvpDu9TJ1LZfGIB8UzPAQJ3f91Rk4kTaTqu9Y
5aq3Fm9FGxiwx0j/Tg14+Fg8xYmwN05LPQhSGbsWpfz4Grl2+NzbcEPBcm9IoHCMz9HgoK10J2pz
41d2wum3YgJsIsf2TLfttPbZzWEyDtYnE6cPraIuJ9R5mpazOVORKnKHvGCP/sEVJxJIY3jMdx0s
DDYXuldfcjIl+LZ6A4fRarodZUougCgEw09STtl8MMFj3tfT6sPJ48l6GPvIe8unEjfSkK6maG91
EROuZSmgRfgJ8eq9DqRlrnyHrhyW7mumB9r4fBcbVUQgxUuIME4C++hqvV4wX9y4GBaXIB4sDMQW
Fjt8i0RgS4/tTbOQ89EMs76RKdII7c31ptfnry3PvHsD1QEyXSQ3/EexkWUE4/A9+ntMf/NZ69de
JShuX0Xd2d9rTbynTWueDbKYgMVbEEuFzwoeqwwXOUxuAPHeNRud/Aw3G3BHpr4mOlyCVge4Ieb5
qda7B5CYyIf0lG7Q9SAMoVXtUjL/e53h9NIaXU0TIJsnNLZJHmItuSnyMd6x8Y/QNjrjJW1tZDws
bzuu968Z0tp9awKUS8B6PMYuk4ORdM1pypCqui6yi2u7Judsy2qkxESPD9o0c+R0SqffC7zEF765
ZVjp/nSX4gR7b2eUK0rOjIJjj/CeY4eScl4hAWVg9bSMIv6ivNjlXRlp9q4wl/poQJjd6HC/wkXq
6VnrYjdwqqre98M8hGKY+89mR2a+8OoqGN38Sy+Nt6xt2HbweDyPUxmDRZVTcic8Iv+VrPMQY5e5
gVMovxsgfrcD5c8PGYT57Ye7vY7hVAl85CEI5eiBBbm8ceD47CefBdsiaSUgjGwZ20z5MMBJweN+
7hLtOGE+TgU+0Wp66ygF/9LO07CLKRV6LxlHtosCY85t70viFd+6PJVHC4oMJu6cELDN/4ooAQ4W
GlkOgCAo1sVkFpI8M3fkOoyzarTsq595NvfORNvTGwZ5XkbFJesLCydvlu6AOrbHgQPJdoBncGBT
KXfuzMmL0cDe52YyXqVlXXAdzSi8vUFxs46/dQPEcdxarqy+9vaUbnjtj2TKjc2wJM5hGq12k9rX
SkzNoRIsyoDomrvasL+2enMZBo+jA+orbB+15xZN172lfTLAWAdJgsyS5ooTRkE/QK7XN27TXVxd
7n3Z7hVyPBpQPq2Ep3uPQOoJB2a8A4vpBfRDmYGTVmRZIPBKVhi7SBTXVqlp976cp33hDP5BLBl2
XKu80B51h3012bE0ppC1JnPnFAs1egNTe5oXewmQOOwVzGJB83Ngs5bbV6OluAm71q3W4x/n3u4+
9sJMDyojw+zbxrc2cugnWwBEpDiLA0JfNg+yPOF5YA2XCSPL17RccMVqfP1qqR0cqJ4XR6N5we8p
7RjtAX6a3wzHmS0diI2Y1UmqvFPZL5citb+IyH367yz1fyLfCNth/viLWar7xvnlz0IJCYf1R36f
pNayJIyhbJJMEDaYfRAj/pikTIFByfI8oCK+h98If9Af2BvnN9PBSoIkAr3lRx/lHyYkeIoAqVzk
FSx0mJT8f2JCYu//8zSFs8iyGcpMTHkW0VvzF1NcLgeVT4Of3mU5SC1/g3EHdbyLc+fWjxrB0tlp
O7kHW1HhZ4h84rkcuFNnk0djPc03OEC4h7t0rQSyT/PeuudOtMJHbcT6XKdyF+WWZGx+gFSlT3d9
0ervrKepAwu4OaTepjMSWsBNGmsJKNSIid64r31BTV3SZqcyq4zvVsxYF3B5e2+aiWl4hrZ8cnPR
BnUdY6rtIZHQ5BHtWUSq0PIL/ZasFgQ3xMdhYMDpuMOooqGcUVlCe3J17c0DVMueFtmAskGXPpkx
PaZKZcS8RHp0uci+TIQktrh98PywXknuO9fLqcio5+UOGkrk0x00ld3Wavgbwy9UPQwzGN2hryeA
c5kR4zGlvzeenLd0GvsniZ0hu7FNkm+Eet3blDs6mR6qjIgrOYQvejdJ0CH82af7WCda9+DafV+F
fBLLp2jhdqBxZhuCZY7iB9xlkR9gO2HmWnj5x9SJkis1zSQDwAzae0fM+jFmm7/1nRysgI5539i5
2PLJ5lCJ9bJ0nC7juM04UbhjedJkRe5Zs2klQdRW3q2XT+6Abi34SmQqBbvlzgnUoswGagcvw10+
98zOgD06vlkbExzeHPpFMoepPlhbqa8bYi1LvrsdvpgkTvODTMWwm2LLCe21+w+moXtpFVzGoMLa
HppLzznNwVO21PgH9LI1LprtT9tqLJ1TJFxcEF1nO+8TrV8hVrPhhi2Bwn221GWCer0ACNy1ldac
KbwhPqNXg+42JzgHk9dw+yVajSBOigHdHlxocyfylpWBqlJDBLpFjqpiTsWTEgylFGeqDrFbBSS/
PA/KriEsEZao3daFJRmflTJG96FsqpTYqjb7zXPRjS7EnJqKoSXhUBh0+po+xrm1lgOayF08j6LO
P8NISd7L1l0ajN8u2kXhLaV2HgG7SxKCM0dAzUvPI3vvKyeqplezRIYIcjlh+Gsq3FpzvCQ2viOz
6rArOXpyWLB/1EShRMHK2uAwupngtfQHvSvdXRWn6R0wEQ7ZSTvSpFgDdufKRhFc099L2oeAjsGX
NBFG6bOi56ENTU3APUn4NMNmXPu39ErrVJAxs8R3TkX2b9PxEHOvZ1WyfpC2vu9ITOHvs2LqExAu
6ON0OZwXmpveaHhGRpDCUcGUg1iMNbrwpk8mDQz7HlcOBBhd3qu5z9SFvNFXTfkV1xTVasCjqWCx
b/rakhiOWranu3hAIZ2jFYbiERh6VJzOcJtETVft+T/J9vpa1fcH7kTLA/yjmWZpG1fIBjij6ewL
PTEn8EPkhq266b5T9vJkD453tlJbqocxN1E/pjwxaKKMljn0Gg1SnZT6taKm6iIwkjOpCj8rt1nM
3cxG2aLfrc32ara8U6Z5S06DizbP59mYIJgSjlAhvwmMuxfJbWHE61Kfz6rexUxfoamEddHA3YNX
GpIiZJFuXlGw6G8tL8MkraVr2lcks/FIDUEaEo80+ZxzEWdvXetmr5nea09WV4yfOduOHbhUIbjW
xDxSksnauzSYTo+IvuS/ifzILSVacXfFHxAke7Q1B2mbDvv1wPEwYZ8EYTez3Cz0tDZY0pYCXii2
P3qlsKjFzKldvKokWCW1tsNYFVEwAXaktkuUprpqBuqe6IV4NJbYeiaP/oLLmv61H6Fjv9LNg+NN
7sWxgaLGPXGy3kwAQvkkGAlnk0wEyEMBOqyV+b6KpLgpSnMYWVy7pXE9dXV9TTLIyfZeW1uf2n7+
FM8zWcEeOdIIjZSly2Yc9V7SgpDNwzUMcONGLYa8L7MaSZPepDm+GPMYdZjGRLGo5VBabu+SvmS6
o6acXN/k3QgvN3b/PU/9X85TuO6Nv0RQP9TDf4CM/P6jf0BGvN9s/lOu4zirl2RdN/9+rPKs3zjR
2H9eRP+BGLF/w9GN1xr6hyPYq/6vtduC0Q/6z3YZhAy23jTo/APECBS6n09VAriIbuuczwDuWIal
/3KqGpBeqi5La/B7LlhUHy7btKmq1N8n9FbsnAodHAxo5l381EJLN9MqvZmcuQ5Hem68sLMGUuBR
ar2wuVruKB6uHkbpRF8g3893DTEFhFkiygdUMsZyn/foKtVGjNd5xb1ymnmEhqzHwQ0lbNOtMycU
uoyNWsOSIGyLno22aLetn8LZpN1rwkHHhT2HioX2d1mygcGVsohdrklxm4AyvcuTSGy0eh61rd5q
1ol7ImBdtIAKQL+VmAncbYnPrl6caxMEWbPpTW6tQ2lZp0l51tGfMdBs5wIZVOcy88O2jPpv/BYD
GrOoMPFFAyV3rBFbpD6XSesHQQL8rtOxLu5rwPY0Ch9QQX13S6y0/J7ygR9sAhg8i2zEYkOl0bty
7JaGI4KtL40i37iJeGUvgqXYSzXp+T39Kjg95zS5nYaoemykV9/2ktqwK/pOYpsFgEnWkKISnBNF
WRgRz7GW3luVNN5lznldrdPwRmao4eV6ZsCEKLLZvahUNV+M2PPuooJgXMC+VDfCiBwAR7hiqneu
V9Kazv5zbsrmNjda/86GqcnuHwX0IHn/diNw3XPhpEyySbIGNBmL52QsyXvZVf1AOtq7aMTEb3AI
lxtMkzYkR0zLZdQBJIAdfiQEa520AroDSO76Nu9a0mdKlMvWcTOcNBLtlbziIMKUsUAe6DXo+TtT
DGlVafsGkr/93EGVeWl0fAAbX7W2s3JV5TsWEApe+oQibQ9/ymXmCIO1T/gPZpfGlxkmTrz1Z7bP
GxteGf4BZES+eTYR3ESbXj0cKNgEUFKbxnLj3bDoPPHnrEoPkdv26jhgnFn2aTRoZ5M46bSZoEeD
HCDrSbqXaqf+mNi5jbF2aoZ7l1mE5ZU1kz/3NMMKjM5xnipjEdfJj6QlJ1eWQxQZrhlM5yOQGUNT
w6Gv/Z7V/AhuLh8hznbNc2of0U6wZsQ884/Ip/A/8p/ESLxd3H3kQqMaYOCp/wiMFh/hUbORxEYR
wWxUkDVfiuVMe2BjKjkUR9duWbIlWfOoCcHUaE2oFh9h1exHctX8kWONSx2rhbvmW20LinaqiMDq
a/o1WnOw+pqI7S29OFLxNz2nLPxCzU/qa3gfLSmI/j5bU7WEAUyIvJlpeIC+k+nZcaIYp+maxq3W
XG7d4aaE522VDRh2krvpmuGloglNqTclwd6K13BY9JTAL6L5EC79PF9pVCseUbXtcPGr+1p55579
MDx7Q7J3rOfTlGbD1qXAYSt6jsbwnvecqbR3kgnbFl8xTia1nz0szEvKwWWh+eIGAeIB5wOsxnja
Y6uwn41u7bEfGNvUMtS3k6ffG5ZlBmOn+Njk6mMT+P3Hgu2qRwp1R7ZtIzO7utKrRn7LFvdGV2b0
GXbYhIu1LR4qZ/Rus7GWKD60GgkqCO9o37V27ZoynVKc9sJRN2nrATkTer9JElnsFgNlhKZ2uTHy
Za3+6+qGqLf6XEesy0EO3Kqmu+6nPIJNnYwbMIHdvo2YkjNH06/ZZU63jkT34XD7BsS43TNieNs0
WqIdCVYMUZEtN7UBJFXVGOuLcdTW0lXjailgGwxu/GXlSIexwXSYuwT6TX+og6Kvu5f/Ye9MluNG
siz6K229RxngmNusNzEzggwOIimKGxhTpDADDnfMX98HVFWnxMxSdvW6Nmk5mBKByeHvvXvPBbU4
HMwybh9IvWp5MAZjH6vxW6e8Yj9BDdi2Ci9wb4no2c5dgkuQyDsXXuaUGZ53YV50HohmPDGOe6oA
J+3CkPEXKSKAQmSXO0dUetD6DMO/7WQSIkTm05SVOqVF6NBg673ZP0+6IasJT1yabYMmbWmhNdFj
2Li8sm4Z4TDpErCcQfNbVec1BTjpK08SPzwk6Z4Q3FQEuxKuyb4mlfGLJALlM81PA/wWlK16qOYz
08MaCfeg2JeVwa3Nf7jCMmVcIyZ+9DHXmmuSbOiHasDcCuDfuKJ5m6NTGbP4MszLIFzFldtA3kg7
f50Lu8ZQxPZw4wz0w13QieueIfPZpqW/Yss7UklRzO19qqK9L/38SHMYHruk4dswK35spakZ6umq
2aQdEw7TVouzoL5FsWGe0aBVmwASJQkJPAbOsDNHodcj+gqcFipa1JkG1YSfvdkMGt/gJWDYTUjt
w/sTYZVQmAyPCDhCe51NDUFdbI0faiKk7hKGT6/kZsVbGTbBZROJZyPsvqVoSp88gUwPIre51o77
UDmuAZ1BkyePXJPBEZ70eWqih1g5+9HOniOv+4rgzN0T6dvCdGJQTd37NPVTuGkLTAm+r16aEr5j
b5sXSF3IebCEfEMe24NiMuqNwBl/6EVX1WuBg2YLLtm6KZA1bilP89vK8s5VDF++nBHXla2gRy3o
hWAlSNQgt8j95vPidcPepl9Jar6f6g1bKfYXKN6t1WD3MAYgCm2II2IigfoFl77bLJuZJli3jmKK
z1dum1RR+iLy/N5A74qgsDGRKfkYpNPAf1OWukN++g3sKu6gFMyC4X+pILrQGIdphKbXP4YIlgC7
kuDs29BL41mSltwdCZ9DIZqgBeohtW6CuCdxepzKC7uXF+5EEznzrId0mPLLgmeeVjVSe0vpkKBt
ZGqQYveqL+SxbsdPzpzonYVqiDHygp7N5teW/SeyKfR81Pn9OqURjTustCcsX8TMul7dAmfR5W7s
QKUqI/gaxeIJPWX0xWxc+5p+FR7/wGX+0vJcuV9LUVo0rzq9lSQZnwjprU9dI978clizL3jViI4T
5veFRCOkh0MgEblqB6Vs2tAI6AMv2bNj8e8sY4o3cN2zHaXkeC0qP7pRJKEqbjqB30CEzHMyaWeN
m55H1ApiuhwjNhYrs862zB7GXHp3i9Rwj8LfJdFJVPVdhwhunWl0v8TOugzIsdCNzLnQOm20Nz+2
QJOWzWZjVdfw8OO1M4QneP/f6IXgJyhRDhjmdTTo67lIF/8GTQfcK5ksn1VB9t6sx/tBdzfSahlz
Vlfs1jAqeTNUzhbVLuG1OXtAzHRQkWk8BAUZuC5VPnBg33EvCfgILr2yIX+Nto+YfLC9ADzmG6Gq
/PTvwu//VPg5LEK/aqQ/tC/Jj210VI3LH/hHG93ElutCZqee+nt99o96z1pS2PDqMjkx3/voMBr+
0UanqkPFZGEV+V2NtIiUTNOmEFykSCgO/pVK7z1U6AdPOblt6KNAECzlJg17e2mv/+Czr3nSknoi
myOEJkfAczDIadqVHpSLsnTsC0I/FwxYDJ1Juw5b6Gli6UFWfTM1lTooJubLkz7esOOBYJZCTEim
yb3BOqvRddfFSG4EQa6DSZLjoSw9KON3hj9BqMFn0Aeh85AAsy3lAe9YtgL4TSLGyiwi4zosHXq6
tcpYl1BjW3XwzZZkMneHgfJ57C9iv6NJchExzcuOoR80/SfZc5E/GRXi56104E1u42zA/Ma1dGza
wbxNJodFiSlND+2eQIgIt2OC41I6MBaHIj1HZZnsG1/M9nqovOi+KgW9ORp3B06q3hRzZ/xGUFp6
H2SOYhxfJhnCc1p7I/qCmVd+l9RR9xJazNxwPrBSEZWZrj28COuw7tl5rcNxZmE5ZnxTXHyBTDBI
thgGUEon4b9no2EaHM9JnJOQhjFwganlRjx9MiarI0wNOGO2jP6kK/y9oP/eMYB7D2CzzDiyFnFk
3jf5eMeIMVVXkj4zloxV6QpR9hf/XhH+TysCEyfaJv98tPb4psq6an9aFL7/mX/0gKy/Yf4h6dA2
LUGowhIO8fcmkG8jYHQYnnkOmJqlQfT7okDmIksIIcq/25fYibbJf/+nI/7GmM4KiVMmLYvRmP+v
rA0IIX+EgLAgoQkOGdQBKPEdx1z++w9LQ2AxIwIO5B6CAG1OmSTk9saN/R0S8XX8r/it/hMEzWJm
+mEBArJr2ZwjKx8xlFyJ5b//cJSoI/vHxlZw6LIKaH9vhjRdaYo/V20/3pQe2JOCACxgIzNhZz/c
jz859nK//nBw1EiBiR6TpC7vwykmAFuh9GOkj52wzne+0sOmH+lQlZgi7jJ0LC8xaxNTqiq1N8ja
07fRgMa19ZRnbwqq6dXU8fFv+6BY243RHLscPbgOMiCUWYH5sp0U+8U4nq/wPUV3Jez0zf/jJHwW
bwsRo8uD9OEKmsqRaB3n8ADmSmxHwhp3pQFDMvWH6aGxyWSLrBycqVFOPc7ddwRjF+BmQqEIsyRc
ek8Czi2DpZXZAzYhjWxGUpgTcRP2+S4Alnhfpl0LenVuqb9KCoxfnwOfsz/ch8AneY8PJPLbj0Nc
DQiqm/whPDDVGzbKRGpO/3+ijMm+/fpIy/fs4+PGR9gm3MMN3D9461yKfVZxjtSDMDhMWGzBfAXN
UbV2c2u6NKJ+fbwPL9H74x0C4UA57PCQfWRkCEtXFeorjhen6pYVBZNER3zWr4/yJ9cPtyCTcGA5
dIc/kmFC0tIRdhnBQQlQPAFXTdphesh1cP/rA72Tfz5cP1dY4JN48djlf1wUstgS4cAzeBAzUPnZ
1+DwQ56ZaeLGTSXDG/RQHpD4us3vph6KtCwwBDj0Gu+wRM2n0nWbWzV5C+6oZ6MqrUW91iNrPMRL
2CHuaTpoPJsPfYzolygb00Eekg20fJyYgwBqEFuCFNODFp7+PHhzevj1SdrB0t7+6SwDk40Xl1Ms
MTehu2CzflyUCNvqklmNhwFN06qEEnaBuVJfMCbKd/WCdvdgvI+FAva+YN95eLMDcHws39YChZfg
4YF6QIpvYcY3XmV+tpj7n12qhGd/Qcu7MOaVNYhPVlg2WAug2a0VYtd7YebhLiGsDG12Mj4kcYWd
ccHXI5+2sj5+ZjnLD96CuI874aKKAnvP1yVhdxKJrY2p58Bwc0I5BiifHZC113Yd3CNNyy4yA8BW
RcY4wuA4+prw4cE/mscXZBkQHgBRr1n1C5i/DED09xHyL9kLZ+05TNTB9MLyby30wTlq7seWkXyx
IP+Z5RrXWFWm1wnxMw1TogEAmNh7N3Jo4GceyrKZumpjLHECLnb+e9np8jPgkvybtJIaD7wZYmUN
FQXxaqiXjSNs0ycfLu7GX4IL3DAsLrIpG6H2ht61twQctEFakUZRpsM14R80abKFREsmAnPsbJ2Q
kmAscQkGAd3Im1KCE311ZAfKr0Z9j6I3vGAYUJ2J4IbVO1YDSQxLKIMBH8GU2eVyPSkaM7m2lwgH
vYQ5WKX9xYUXjb4wQZsAePySee30YLznQFiEAZ6tzkBCOS1BESbfl3W2hEcQQhZcYOyxXxRa3hsC
F3R10bIVXTe+Btjk7JDf80QsoRRdY9sv9RJUkScCxrAcsdMvQ/KHatLdus7ReYHLpABeAi8Gki+S
xL4VEcEzrG39BS2QaTUZwOFXBN2/YlQpN8qz5O2kiqs0Ih4KEiCuurhAvrDEbjCL7tbKNI9SMHM2
Y8cBaznGn6osvqLz+pwsAR7JEuURLaEemfI+A2dgnl9VGzrE2drIvPCxhYm7s5WyLv2xG9DmExVS
9zOhIUDMV10GKRfTL9xxsH4sUczprfJdIFcvrVlCSHIE0etpCSYxlogSuYSVoKZx1gyfYG5CFYRP
wcfI3/AZArsRBx5pJ0MKFywmAkVpbZxcWpGX7RKQokZ3eskGbYLQ1D6BkhNztZUpMnk9vyesWNoi
bGWynIukGouDtUSx+DWvi2dgSsoBvgjAJFuBOhsqRgJxo02iNZ616qvqnfgpg7Xx6vl6erJ7NRzL
IOgv8j4EdgRv5RLJH5l6OAjXtID6i87i/TKmHEFtMTFNhs/hawsSe+jPzcZqPOipZkyb05jHB6c3
qx0m+OTCzJEtOkVNcMZEEimd/HRveU11mY44IyqzbFFq8I9Z1QHLoCprjqE0841Xd9Pe8Jj/NNrM
iWjpp289LdX6bE60AyPJpmDuidxTtcAeh1pzk8Z8OayZ6E1hdnJr9oPYcsbq6HsMsgf69xuRmNOJ
NqH+PIeDcy14Uc8TsT7dJo8Q5SCBrPs3YlcHhkXmjJgjU18Tn648gYL+I9lHS1qsb90bJvuLopYJ
IqeB3UnPlo9Ztkn1FxIeGcFyb1adRYTtSLrRXUG//CnL7HyTm/OwYUw43hiupNedW/bF4BBFJFEk
P9atZrKA9uF1NhITLgc03ExxkqS7zFdeUZNiGTr8rsmWZzuZo6OvFV8u5OPAj20332TM/LHQ9pw5
ppTrhYC0cTsb5G07I6TCqng9+zLSqLNn/owIC9IlPW8hXtj8EpIEzH3ft5wSrmb8o/gHkE/lmbu1
w8S9tlgY1nNFE1q2Yj6Y5AWsQ7+LjuxVXFQrXkgnq1DH3uN5texk+sYeuH9M4Wdu7Vo0RxQMuATZ
24i9hbJojznDPZFcZdxNHCDZIKJhe8Eoip+NtOYZHidi3MhL2jvTh3JIrGB3p+hIbpSfWE9m4ALf
YJzh902915mYhxX7RfvkjiaabBYFS3X2Gamrs5NJMwIXFd66LzLyEe0oAeeNXT1aPB1tmxJ1Pbhb
fKT02yrkX3kS93sl+ynZc/n9/KtCa5xcUhA3KGomt11BqUVG3pbKZFxMc/kyxPAuWVkncpPonDvJ
eRzEWM7/Lli/Yy7+wldHavPS/vnnBevnVH+tefx+koP+/U/9vWQNvL/RwRKIEMT/guf+XrKG4m/k
n6D6DIlFeffQ/V6y0rMCOOcExKM4goqSn/F7yUoHygfOjaKBuTe/8F8QLvy8u4dIx1aNyaLAK40B
4w/dLDauSU7Or3cKY1I6VEkl51q0qeYJw8u6xZH68sMFuvm+JfyPqitv6rRq9X//558d0BeIWB2L
7p5nLdv/HzaKOWdNsGvpnmzMxpt3WDv9dyoqMo4O8UQ+yK+P9/NG//sJIprleoEBDhh0/Xy8MCPC
JQToevLrxHvJQg5gLxgx7fZ/VZP9XJi/H4pbzb1GUoKIF0XJT6dGtG4Sd7nlnPJyAPnqZ+zC2hld
BSJA69zignn0c7rmbCzHu3/5LHmSXJ6GgLgc/yOkd2hyvk2Gck5aZGTXBBKjP9FmC4ogBhz764NZ
dFl+2Oy/nyhPoIVFEAyuRwH684mOkO9Kpr4OPiePAyHGpyAZMhO+at/67IgqG5r6EVQKrppJJT0Q
VKsmA4SMXWNtLhEev/5Ff7zJHiGeCIOA0BBD9JG+muFQ7Io4ck7B4HC6FAjp3jRy/vL/O9ZilLXh
zVg8OB8eKDwbZkHD1kEYSHpE5xj61W/L8a7LxF91W5br+HtRtVxnOln4bclKxRZuuksz5od3JW2l
QgjZOac+Sr5pASa5E6XxF3fzz64dixCNKw7GKvXhZpp95vitKJwTqcn1KQt6LH4Bape1NS8hHb++
UYv06w+ntBByBd1zLuFHKy+MOaufUW6cMpHi6rF7jskXkXyLAqLal6DJ3RcmoryktFnupqS1L2Iw
lN8/aP+0hfYnT7BnOix75vKqOtT6P1/ZSDAnj7zcOY1BK442il9SKSLCmKSheUJJziy3eS4U/q65
I7Tn/eUlbJCoj1Crv6ie/+wOOA6IQKgGIJbMD09UDq6TZCloipoi5Y5RxkD6U0dujFTh9tfX/88O
5eFAYBTCp0V8fKLwzKla+Y19Sl0ubxguyU5I91nqA4878euD/bzUs3zT7aCTEzp8Wfw/Pr4yaSG5
NNI4RtOSemHgwv5S2UTlzEssVE9tFvzFs2z9vAQvh6Sfg3/C83iaF5/Dz/cV3jdtJdCJRzNio+oE
FXIPjW/0Dr3EeJdqJhUoFYCFJ0Em7t/J4+XYotQ1KholiMCRZixTmvcVpHXyhao3C0jbUQKTaJNa
tA5+fZHc94HR7285LWeP4f4iQyTW1mYE9uH2M7bInLG0naMuzHIHEHPe1akHis7SeQeupZzGeF0U
maqjdZ3JydvivfduKbxJRUL/zW/EqMeNjNy4fcXF1L6OcCDw8SYz75UgbSvZmCpDdOe+52RZcei8
NAkhOwVOD3bV/DFFp/nCn5agG7a1bM2X0LK29+tTEDtI/zIu4Arv6nQD+sFQW3wvFLAzaJF1EkaN
dbDwcBPBTSbZsClDGOEkEaWRjekxtVFeVw3HCLjS7+rGpqGdtHJ6h0oR4SHMrQSeHnxaS36ZmAfP
eyOaQ+84yCXEpI1LtZmUBWg9p1PymmdF88WXlZDH0kqnOytg12KI1iA6CHB6+mwRogiCYoZDR0Iq
LpFHrIc8e23uveQINeGDZoIAMSsk7cySyxe6792XcsrFV0ni1aFv/OZOeW25dwfInRhiSTth/e1x
wmAoKNfWhLXTsBte0pFRskPMJIJ/wobeU7YmzF/7yCYVTmngGkYtCCR6Z9aHQ+TfaR3Pj4JW3uv3
DLX32aE1Kv2al7FYOmUk/8w6sjCfTgqciJy4m6B+UFRGFVe5zEgMorkPs7sz8be+f+UqvtTgAsh0
X01lojI69CO0jcn3ebIdEsCmVVlNs39Mlo0JQSAYVhdWvZkJMpXQcI7bwjQINXNRTJybtOGpyRmq
vvjeEoJEbSqBq9bBhAHejHzvKJf10sD7oPfa6el+CZQvzZoe4WLsxLH86tUJ719txoDtSxIjzolR
Akef3jMOohpY8cYHnUKk1Ds3yKpsnmXiX8NHTVCTRh1G1x1eCfpXa4lBbluS/HaI0tl0tBWi3rUE
RHQ1wz6M10QNuS9oKd0Xb5FQMoBQIZ7lyVIQ92dxmOcB7pSIPee56vvqPpjT6QppKnmZtIUsDA6F
FezorapjWtTMSgvM6ytdjIhrq7nuNqaOvHvS2dJhBfSuyleoxqczEefmqXSSWjJBDAHIuhpso2tg
Rq/m6T5nArHF8iLlMTcXkArPJLojU1e3LTLUapVFXflWu6r9FjgzIAvhd+fQc9FDTWPG8LXLWZnW
c8HCNZDEwEUwJvlEO498Ee1O3lcGo3B+GLFc4kBR8c4k6RpUVCfTjUV5vu/rrj6HaPaQI886eY5t
CMYgeuQVFiJv31RTdMI44jf7QA/eF5nis5gqOT8zWa6PsBrjCce1Mz9XRZNvAZfNa2313MYgctHA
5UP1nMnMbzdVn2gaDsrfL5tRQkTGRqMTUaWBBTmhY83mZQdCpl0WJhQ09JTuulwbF1XeyItMIZqZ
3G56I6N62JKFZ9xCTi6f0rzHvDBBaEWmhQS30eRd5erFb5GqBulskOBSwrvtlbUrZc3/KDDOS7OR
5d+OaINBqUusjecXdt2u8wbTHqorGgZxvdx5OVyy06U7b1vgJ6q0p1MZRRwIina0cbo4uQhqgNUF
cJHNTEzOVpR19yBzr5HrvtI7QLvTukrMr4Wv6yeCXcQqDa1xpw14ul3B7yBxpLzlq0T4zczyfuk5
DWm3sckd9WORXZI8Xd2QwCURVLU81AY2wPZlikiWM+i+6ZVegPPbmh5IdvoePyhsMJ1rVtv2NVYm
CxJJVHjNSRChYwcq+VH54AO3QTe6IIPAhQBHgQCCkwISxAytGXxJZDnjDZ0jY+1PhTq0OuR7HHQu
qeU494m2U8Xyf7NGqfd52rIEsRovmh+0C8ZIHaU1Fu6N18/oDqXDq98lbnNwRpTRJDLmCPwkjy35
Qggxybusii/ETsXs5xJwIxb9mXoZfWg0PUQ8BfLbJHsH9JCPSqzwW72tMmd4KwNYz2s3N9zPeKsI
70pCfaBfiw65GuO0I7ArS37TffuSSdfeuk4aQxeYWD6eihn93icU2ggRApEEZ5jjqAqKNN9CuiWp
3vDm3RQsyKowLgFW+87w0LuqvPNi+Y1E+6eRYcB13or2wLqKAkuEqNucTorXuE3i1zlNh09x53Pn
eONx2sP8DZm5oNNf9UkKDbEptH9E0gcgfRwKWaJRYh1f51jJhgP+J/PkNPV01WhclB5qSaxuZd5Z
K4+7gCUFkP2jUcFJ3YJqKq6IIHeukZwX143ldHdlGpAmV1v6q9MbxbZuZ/u3OvT6EzploMhuJFJv
pQMbMSkpMquhm4dwxeyE5SKMgGmXgXOchv63SBrDp6GN81ur69CxprH7nA9eDoq8SEK+lYsfrpns
+Bw6U3pFnxi1eTjgkUz6WL+IFFVkSYYI4eRud2I6D2zRgSGi6LlN6Q7KLfjI0RICmgBG5XGXFJV9
7+VSHvrKnj/JNAE/MXXzbQuXAOx8PHzpirbptqbWTnoc03F014C0DFToEUb4szcCnduHSacPVLnG
ZebP9QO6DQDeBmjsaiUM38wRyATDeeAL/83qG33VSdnvRz6EpyrTZbGRJK8yd7MoLxIWtz0wD4ug
U3YWxjru/f42Fv2A3SmLaLIB1FRf8rG1MU8U7uWYCpZR25xCuFiYXQmSLVUXweKqxVXrT7ML971B
/RsUvsOCaA1vtfCI1QwN8NmxJMLQcRq6lIU3H3Tnp3e6tJoHIAL6MSgQWPYj2qI5G9NVzhQe+VyS
IE6eM5/xxuCTokO8+ivtbL5DrcmYGvF8WmwcLtVNP1OnVAV5kWsXLte1MP3xwVSDAQusZbKQ2o29
C6Ag+WB2K3fXaB98aS3SUO87nt1vmPXGzzKw26+DC8908PBX7UzpEf6iC8tlQlMXPnLegJEeWvUm
3agE6fbBb+U3NxnjG52VNl+5VLdHG+hETbMa+SwEtWYCMqbwdvB1vjZQHW6F6UXtJowXYug8jSNp
urWPZK9z2uCUd+hIDcfvnxIiVLu1H8/ZtQlj1VxFsiquK5JBW6DCo3GbEFSz5putLYe5HlCX7nGk
Axs53yvYfzPG/qoXSuFCa+Cf90IfUxXjWaId+ANC+Psf+od6BzeW4/GvBFqCBRVMP+N3C5fn+7in
QgohVAY/xkSHhEsvzi8kfDTXgIH9byt0SZDGYU8sM59rIQQJ0v9CK9S37J+aE/woDm/TbPWWcoyG
0odWSNCTVMeXxUK/M1Xg1tntMuULXUYQUwMK3t6OBChOVUCUYrekKjL3QbpqUqSQqtOd7Zr0CqYh
9s71IyvaKt8NbpIlp1EtiY11RVQCqPjgoona+4hif6HnNS+mLZG7bRQX+EEro3oULWpBWQ5MRXuM
Va9uVPE5ThBBONPovlQmsK81m233xZZMwFeLkuKx9WrjLR951Rn+leMb7OXQz44phsYzr9RWkTsQ
xGN2MrNcBnuvxwg12A6RF6vY6Jxz16IYZGJVG/eG4wKJRcDcb2VAO89niL/SZUqIhs/O42ypEYV8
ngTPRV6A5tSoebgstRAHaxxi8GhWx8bVW3SJSJW2UTDA4rIabLvwxn9zyrk6MTyTCHNnZ+MSzvyk
Mg3y1oocRt6Mh4rIHh6FyKaF+wqu1CG2Y19joboBOmT6+3dzA4pG4wsjLMaZemTwb7JDy1NwJ9DG
qeAeadf07drHPUA5pfByrdhRk7QWvbc9mKy34rrBjEeiJY3OewXK8aVDA0nQWjHIL07sIBIOKfTG
wV6uMoOfeEUYrnUf5sjWCPZG5hMTGohpTLpLGWMXbLHUEgmsMbCwXrWa7ZvNUgUMGCUN6cZJyG7N
UA0Jr+9NHkuBfafCoN/DTob7GkmkUqumQwVDAnDJn3HtKfcv5RIFK0I4Vmu3LcnOxqSart/ty23v
UB0VCYzQTTy64WNQ5wTFVS1Z1AzXoUOrYLE6LfzYe2G5nEbZ0f4e/LrDn9OG+KHh5b1IrHp6z8JL
maFGPZ/CaqmBppLIbVrY1M2ZM3NC72Aj+LUEJbX5TAguxmd+wAB9Kd76MQh3nPYRUdvoNqJVHPVs
E10Y3dkmIOXM2QQ+9sZz1C/Bu7qNzPiilT01Zlxn7SvWLTzSWEzw7SD5x4nPZL/YF1nGjhcgS697
QKtLJC3tHf73fND5+wCd1byixuYKqmHk38wNQjjHQ9Y1UgzQGtCo4by4M3D6EmO6ijBt3QTkTVy+
H9HzO2rL3qANgrKEZ7PpF+5ENpDJPKicUD4amhSQziD6ec/Q3nkx0SQQ/RmPdDVMelsNWIJ+1bij
OsC+dZ3b9+Di3F5oA+RuKb3Fh0HwcyOWePPYLjitiSn4JeFh3mdnwZ09vv/KAMVsfGAXkFZr6Ov8
WFd6PGUGRco5VORowDfSsPa0R+D0Ol8iOT7hS0KQVxfLLRXmcn2CjDLs3FJFwaqiuzepmn8OpyUx
73vKtlEjRMrrJRT7vePlDwUrlJ/RFXJK05p2aSOLb/Ps8kRmnrE8U5aAFRW7RlDu665fTO5WOXbr
ROYjEXZ5O2zakFEt9pzhDkIou5FsIsGdJ81em3WHQ61IqtJa0Q2Vl22AOkO6AcYcYTQQMOixbNm/
xUR6o/dfgEnRKQun8JGbCbzDZipxlyVTS/L00i5unU5HO4xv46eep3ifDUG5w08C66mPXXQMrf6a
Gdh1QS3wWhRhMX4KPKNc+wJ/y0ooLOUrspKNS7qJBmdX5rUN9gdmxLodVGFv3LCisOGSocUemaUd
BsYvXxsKXntrVXVgb5Fn0+QQGh9mHDN8wVLJ9Z3GJKII81lBOgi6HLAcrgfLdbaQDQXKmtYeaM1B
i12VyBEv7HFBERZBkqwVXwwMNbK6K3pYANitiqym5E3EQ1gv2T9IC94cv7SPkWrTQ0bgzWvh+vNj
EHejv4MOmV02ykvfbMhR953rThek9L23CmkgpsaDygz1iM5Jb7C6tBjMQnLC4ZQRG0vW/KWFsId/
N1Y7M8BCWsXm/AYkAyOnDQLyFNASWxIX6dysyjmyv9AV1AAzGaKvGbRZiHZUfoVw2t24hEQyQx9b
huBpNPuXbtyclafKN9cNE0xEAfIdfD0NDqh2DM4I8u7IICbjCNmmzS4x6LV1WYAeb25nx8ZvbII+
6+FEz0TtbnSTy6sBS9IqN7ropuoVq8nEpjY18IpaVfVkxwNksTbUc7zvaUReyhwGwUNEIfs4JIX6
BM/7JnH7hiRN+mpDrC0UO5b/qfLJdIYY1wbXDTalQwrqeUucrvkUi2E8OVFwP8fC+9zpSexr2Hpw
ooeqDnk/ZEFZo8ZwiwH8MMoQjbwUN/T86pVXysSly5aY5KnP4CijpjVv6X3W21FAQKDHa610Bq+T
yoqInW0xmBXJJVEyPEfQf4s1ZZ+LU6fsOhjrTVF0a8Nyii2Cg3odjGZ7L6o8+JKK0KQVQ1DOdZcB
eiiR1lz0ns1TPeAGG/m8n+Bhdmd8Ws+DCporiVK3haY8Sg9waNRe4qXJNj0CzU9TaDgnelHWbW55
7bcepuLzxLS4eQEGXfS3gFMiEgXJAaJllldr2agnMc3RLQVLtMk9fFVsBcfLvqWfWWi2NL4H8E/b
xrVSrbfVAm4IbcryrWiH8bJZvIVEx4hb4nj7L7Tko00MROImlKF7jU4KclteEeaywtsvzxDQ8yua
haLaJJ1p3DrQmTe+0w1bLhd0eMcbj1KX1TNqXDxMtXyIOmnSi1OPLZ/ELWG2Lh1v84tFLFI2ZPrS
mFznaRhiG6t7PikKLW2RJAHfR8fIWWyEWFedr8DnI3/LfdpZiYm3lJaaHKHHJK3DGQZoXRLHLjax
hK/Mx884U3cKGHrJZTkE9UEU1ueIydsqLjwMXwLBEnI6dEhjUWwsTBmshZi1EjjMfCnCaF48sCTv
eHzCd+gJTDKvhbRv6c57N0Go2k+1olm1UhjBOJ+ETtc8kgrTwtRTubuSXfzgmY11qnB9AiEcye1F
4LUL27L8lGZQDTG3Z8VOUOtvRlGACpHmaKy6Fmv9atJJclMuoH86wtO9qVR/mrRtfjYUf7DH33XF
CtSTtg3EcNOW4a3dmv1eVh0twVY48oThsblLXAIR6IvqgZZoheU/GWrr2DlZd5umHqKWyLvAEQxk
MUfNauoiInis7B6TLkE8VqIMcy0QsPHYxw89pkhwUmPLF1fbR0+W42E0YzhvYRLsUF5yH1qVDeCI
SjNkvuV3HvnbeeLyJpRtvpajSyonMbRsvJIwXjV+WezlAFBQhpx4D4fzEzZPnzi0JsoQm1m46DKd
bmDiAa+NQBWNyiKAliywFZnGzmaeYn2qnclBrJZM3WlUTr0bhBjxHbOe4gmHv7j2WW9es6bzviH7
HLZp7rnzIQnb4qv0/eYQqpD217K1wimpcBBO6OgIDavXqGU9cAgNwWVw6unUBd3VwKB/ExFxvZ56
QsVzEjhPRML251kH0n7g+5ZftVUBtnxdhmN5k7Wpvda5i0OvHGPvroCmC8zcCNWqbzO2BdXg/JZb
wox3IXxEXiCTvWDuWfl1zEc27ovxssq13mKwC0ccfkF0q9kGXJFWJFl5aRI9kZ4ELne2EbLCyvkS
g/m6m6MB7GkZJ7sm76ZLV7vuuakSYozCpjFgQrnd0a6L9jRazbQPqnS8sdxW3ydDeWyG5iSDedw0
oWiuSwjHXz1Wy33fNupo9W60V3HwyEZt2CFP2/S+cm6R7xWgbfo8JyBrLOPiCBp6sHZpOIMRHBwl
szW66TpblcKb7zrblL+NeVkAYgxF0dNqxoJoExxBNAZ+0bxTRvl1AipxY4RkTBhInYmbkPS7fgta
iTh3quA5qe/JFKXB4nYRjTTXQXHc1URYyPcwC5pMBFvYlfnSDqG8Gl02cmnAs3BBHmzEfc6mfBvk
WeLfhUDnzM9pyd+RqafyKrqhC93sXJxKDP7Wrhw+zwlmZsdWQezfxEI2N3z9LtqSL+jwFxPqn4UI
wOpMH7URRTvgOpM6/cO4PGezhAjXrMlRXSbGxM6zTeysgp37Dy2DP1EHfZjffj9QiBQpoAy2xUdn
RqDYzDcFByoSpMnUqYw9UCqzV+M2OC86DSizYrKFvRUxA3+lt/jj0fE5LKqLgMG1jcDqw/QYr5hv
TuCHVSbFvTcMiDxJe2YrQX+8hiLurbzWZz9oDCU7+F+fuvWzqma5yPidF0UX03IClz+e+wAZIoIT
Bkv6fSTZDzFMJTB74p52JRUUniBOvnem+tTGS0C0qaqOGqCK/WIZ9ln3v/5BH8b3/B7wgHYIcB1L
leN8/D2EAMLmiClmaNg5F4P9P+xdW2/iOhD+K2jfkQhJIJHOVtrthd6g3aV7qvYFucRNDLmAnXD7
9edzIDQOFHabnJX26DwCYTye2DP2XL6B+8FkXvNhtWwLx+basfQpU01OkAIwdM1CBgoi+AbOh3AP
5dNdUKO7RJmiiC5DgFzeAnRk8iRgjcm4HgMFqxklQ89H1lXPnVmJfsU5EDuWiEXVvaA7Mkc+zB20
+TmSfQ1+F/CZ1gvg4J9cc+S+/D3zEFOdjQG+8NVYhQOc1YOWcBpuQ7fhxTHiVb8Jzzw/R/MLfsmS
BHeLycgkkTmbx33gl5jiYhVrAJg5DZFfYTyvcIlEibG1wC3dHZg6LnguLqBANUblT1ufPM3hinSg
J8JXazUL+zrgVIFUPBV4HtU8EwDiAHD31sWFuC4NZgO3amS7flvVRSIu7BFuix1EqDgwOQJMx4gm
WqvDPQ1RWqFZ0VPqAAla00263P/uzWPuzRbuJrn9sdOB+BFogkBWULyb6/9sC5ZRlWwit6mFdE9Z
hPzm3dQ0DT+h15mOugesbiz8rF5ZlibCB5Yhe0q/Z5bn2ZCwn234PS2gScm65V9xbhY0OFSLKcud
UDLdNACersu9l0slA8C/hur36byXBI4rfFT8v+SksUdzywKfXBbLzgAF3ckXuh9MFhjAGiEuhPqL
xCZs1mP2qXesLX2qCJSxkDeG5DGAegEkCXawkDEDPDfNN5EFgG3vI7UIBwt4RoCV89W2muOp+SxG
C9caoqbYihudxgStbFew9uaShdcoE5+6gYMqbqvtoh4IoOF2u4MexI0OIoEJZYjns+A24UDCM24a
CKRd+cIeDThql5HLD/MUDR6W0/gC+WvmtYhH2v1oGo0Y8iMG0xCth8ImOtPqHNnazVmrjgKY+Uy3
cQPwg6k37uMI4844qoNCpNacgQnUI7DWEjVuwBC65lD8P5YLP7nxB1Ogl6DgwJ9foHMPWjPctNHQ
4sxcALbG0gCI9IySjRYuvuim8tWKmxwA0LJg26i3J6ubUWx79f4cTiAjPNdn7sCuA5wLLd8Wg04b
eTmik778/4zW2ExEburztFL5W0L58jsVCCOKLGRw6jHfSX9mVPzKA+8TyIVCsO22+zcdSSqk9djr
eIn8fEIcKJkzxMU4G8Z/SbZzP6afUSOc//tmZru872Uq+/KSUU5QSgLvTczi5YbNHgno509ffPJC
1FYx0EEIlbxx8vmTwmdOURwhLMZKeAjIAti6pemif0QUqoSRSVkF4TEJBREZJdkUE5Ye57ayLJ8S
n71GvBAtg9MLsa3StOHi5cSJMkqS63aa2F+eMrqEDmOG3sgKcRi27PNeK7uNGR5aHWfUJ3PCaUZJ
sm1ZssC/LNvZdqpFrzWo+SR4UYOUOOFWsApRfsWZo65CrSGrl8vy36ERIqsqZTjwYeHLUr6ExBnL
6KTLW0cnp+yLj7/MKwftpjIyKV0jjbaWZfjK9xnagas7Ev7XCtbfVegwUtAiMkqdzaKEMKK5+vKA
3IDTU1lZ3OzqJhRbVLBfbsBZMhwvMxbT99eClLMvPi6K2yhhYkfMNsDDytPuEhYq2kOielTAc5cg
oYeETsahFAcaGlfxCrtECDJElhKNY2VNoy7BqEIkbOgxlyjVaQji2xXs8C6THaOjWFnZaA4nczrK
ruwuE3ATAw9/ougmBKYbFVGPEl4kXQnjAK8p6BBZ+WCXF0mPvnBSOD2hakU2kCgr7R6dEdVu4a4k
74flCc9rlySYCI+pZh307QoUYI/Oa9eUC7rMeE23po6rd/bFxzWVJN6lCzZUzBji61VYdEn8CWGX
jM0N32kTkfeBlH7qGNUDkKhXOyU8gqVUNyfaclRgHdYDnJFxce8jrauCI8mdx1SJG1gtmZw+/joP
NcAsKfG7d/vBlCR8T8NQoD6dFK4JqLpsVmAcvnuRQ2tXYse2AWG9ghfZPwrrXlI86wF2F6JEja/g
PPgA6VMhqHKk0FEyWIFmfKAL9Vapg+kK6L6HqFhS0gdg2cpSPpAzWpL0I4HdAeSs2qoJEQ2jAiX4
SEVc25vwCtdvBYvvIK5AWcG878g+SHmfp+lEcUmdy/+rvrOjD2y9b/e4+4fxHhLHn8i8WntIbA4x
6RVmfU/cWtF0KNX1VbxeHrY3ueEyMqkhl3X/GGUjr9xTRdFsypXfm/hPTit1dR2a1RfVP/YnTArn
LKUJ2553VTxD/RnTAshkzlu6b1rp+e1LQOEA3h7f1nMD0kiMK67Ex9y+7tzqyq9BAEO2cWr6fatQ
erffuNozrx8hi6lT68ckpturbjavJIylN95lUlkfm5tsWrcW4m/aYRvjvOVrz+wUg/4nrMS3BbJW
QnvmpB66Jzgm0vXK+01iX3vDD0l914v+L4v+2MxhquQjQ58SfvIPAAAA//8=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accent6">
                  <a:lumMod val="75000"/>
                </a:schemeClr>
              </a:solidFill>
            </a:defRPr>
          </a:pPr>
          <a:endParaRPr lang="en-US" sz="900" b="1" i="0" u="none" strike="noStrike" baseline="0">
            <a:solidFill>
              <a:schemeClr val="accent6">
                <a:lumMod val="75000"/>
              </a:scheme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6" Type="http://schemas.openxmlformats.org/officeDocument/2006/relationships/hyperlink" Target="#Consumption!A1"/><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67585</xdr:rowOff>
    </xdr:from>
    <xdr:to>
      <xdr:col>3</xdr:col>
      <xdr:colOff>0</xdr:colOff>
      <xdr:row>17</xdr:row>
      <xdr:rowOff>23854</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287782ED-A617-B281-449D-38168CEBD5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785067"/>
              <a:ext cx="2242268" cy="14829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186855</xdr:colOff>
      <xdr:row>8</xdr:row>
      <xdr:rowOff>87465</xdr:rowOff>
    </xdr:from>
    <xdr:to>
      <xdr:col>6</xdr:col>
      <xdr:colOff>707666</xdr:colOff>
      <xdr:row>21</xdr:row>
      <xdr:rowOff>75538</xdr:rowOff>
    </xdr:to>
    <xdr:graphicFrame macro="">
      <xdr:nvGraphicFramePr>
        <xdr:cNvPr id="5" name="Chart 4">
          <a:extLst>
            <a:ext uri="{FF2B5EF4-FFF2-40B4-BE49-F238E27FC236}">
              <a16:creationId xmlns:a16="http://schemas.microsoft.com/office/drawing/2014/main" id="{274F5F6B-6290-6051-A598-172CE3539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659958</xdr:colOff>
      <xdr:row>10</xdr:row>
      <xdr:rowOff>63610</xdr:rowOff>
    </xdr:from>
    <xdr:to>
      <xdr:col>12</xdr:col>
      <xdr:colOff>274319</xdr:colOff>
      <xdr:row>21</xdr:row>
      <xdr:rowOff>67586</xdr:rowOff>
    </xdr:to>
    <xdr:graphicFrame macro="">
      <xdr:nvGraphicFramePr>
        <xdr:cNvPr id="6" name="Chart 5">
          <a:extLst>
            <a:ext uri="{FF2B5EF4-FFF2-40B4-BE49-F238E27FC236}">
              <a16:creationId xmlns:a16="http://schemas.microsoft.com/office/drawing/2014/main" id="{5E63644C-B492-965F-4335-553A8A238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636105</xdr:colOff>
      <xdr:row>8</xdr:row>
      <xdr:rowOff>159027</xdr:rowOff>
    </xdr:from>
    <xdr:to>
      <xdr:col>14</xdr:col>
      <xdr:colOff>600323</xdr:colOff>
      <xdr:row>23</xdr:row>
      <xdr:rowOff>99391</xdr:rowOff>
    </xdr:to>
    <xdr:graphicFrame macro="">
      <xdr:nvGraphicFramePr>
        <xdr:cNvPr id="7" name="Chart 6">
          <a:extLst>
            <a:ext uri="{FF2B5EF4-FFF2-40B4-BE49-F238E27FC236}">
              <a16:creationId xmlns:a16="http://schemas.microsoft.com/office/drawing/2014/main" id="{22D22A0E-C7F9-2F2D-FBE8-BCEDEA72F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592371</xdr:colOff>
      <xdr:row>9</xdr:row>
      <xdr:rowOff>131196</xdr:rowOff>
    </xdr:from>
    <xdr:to>
      <xdr:col>21</xdr:col>
      <xdr:colOff>377686</xdr:colOff>
      <xdr:row>24</xdr:row>
      <xdr:rowOff>11927</xdr:rowOff>
    </xdr:to>
    <xdr:graphicFrame macro="">
      <xdr:nvGraphicFramePr>
        <xdr:cNvPr id="8" name="Chart 7">
          <a:extLst>
            <a:ext uri="{FF2B5EF4-FFF2-40B4-BE49-F238E27FC236}">
              <a16:creationId xmlns:a16="http://schemas.microsoft.com/office/drawing/2014/main" id="{C9D14000-4107-CFAA-EE30-FCAE30AD8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38977</xdr:colOff>
      <xdr:row>2</xdr:row>
      <xdr:rowOff>31805</xdr:rowOff>
    </xdr:from>
    <xdr:to>
      <xdr:col>23</xdr:col>
      <xdr:colOff>38978</xdr:colOff>
      <xdr:row>35</xdr:row>
      <xdr:rowOff>0</xdr:rowOff>
    </xdr:to>
    <xdr:sp macro="" textlink="">
      <xdr:nvSpPr>
        <xdr:cNvPr id="20" name="Rectangle: Rounded Corners 19">
          <a:extLst>
            <a:ext uri="{FF2B5EF4-FFF2-40B4-BE49-F238E27FC236}">
              <a16:creationId xmlns:a16="http://schemas.microsoft.com/office/drawing/2014/main" id="{4B30924A-BF66-4262-A75F-79CE64202F7A}"/>
            </a:ext>
          </a:extLst>
        </xdr:cNvPr>
        <xdr:cNvSpPr/>
      </xdr:nvSpPr>
      <xdr:spPr>
        <a:xfrm>
          <a:off x="38977" y="31805"/>
          <a:ext cx="14630401" cy="6265628"/>
        </a:xfrm>
        <a:prstGeom prst="roundRect">
          <a:avLst>
            <a:gd name="adj" fmla="val 7382"/>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205425</xdr:colOff>
      <xdr:row>3</xdr:row>
      <xdr:rowOff>121184</xdr:rowOff>
    </xdr:from>
    <xdr:to>
      <xdr:col>3</xdr:col>
      <xdr:colOff>0</xdr:colOff>
      <xdr:row>33</xdr:row>
      <xdr:rowOff>103367</xdr:rowOff>
    </xdr:to>
    <xdr:sp macro="" textlink="">
      <xdr:nvSpPr>
        <xdr:cNvPr id="6" name="Rectangle: Rounded Corners 5">
          <a:extLst>
            <a:ext uri="{FF2B5EF4-FFF2-40B4-BE49-F238E27FC236}">
              <a16:creationId xmlns:a16="http://schemas.microsoft.com/office/drawing/2014/main" id="{01943B2A-6BE5-4231-91FD-818700447F9C}"/>
            </a:ext>
          </a:extLst>
        </xdr:cNvPr>
        <xdr:cNvSpPr/>
      </xdr:nvSpPr>
      <xdr:spPr>
        <a:xfrm>
          <a:off x="205425" y="312015"/>
          <a:ext cx="1702888" cy="5707122"/>
        </a:xfrm>
        <a:prstGeom prst="roundRect">
          <a:avLst>
            <a:gd name="adj" fmla="val 12931"/>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123756</xdr:colOff>
      <xdr:row>3</xdr:row>
      <xdr:rowOff>121185</xdr:rowOff>
    </xdr:from>
    <xdr:to>
      <xdr:col>6</xdr:col>
      <xdr:colOff>232064</xdr:colOff>
      <xdr:row>9</xdr:row>
      <xdr:rowOff>25497</xdr:rowOff>
    </xdr:to>
    <xdr:sp macro="" textlink="Pivots!T5">
      <xdr:nvSpPr>
        <xdr:cNvPr id="7" name="Rectangle: Rounded Corners 6">
          <a:extLst>
            <a:ext uri="{FF2B5EF4-FFF2-40B4-BE49-F238E27FC236}">
              <a16:creationId xmlns:a16="http://schemas.microsoft.com/office/drawing/2014/main" id="{42DFB784-203F-4CCA-883C-74BF4E7C14A2}"/>
            </a:ext>
          </a:extLst>
        </xdr:cNvPr>
        <xdr:cNvSpPr/>
      </xdr:nvSpPr>
      <xdr:spPr>
        <a:xfrm>
          <a:off x="2032069" y="312016"/>
          <a:ext cx="2016621"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47A1B3-765C-40D5-8DDC-BC51D8C00332}" type="TxLink">
            <a:rPr lang="en-US" sz="1800" b="1" i="0" u="none" strike="noStrike">
              <a:solidFill>
                <a:schemeClr val="accent6">
                  <a:lumMod val="75000"/>
                </a:schemeClr>
              </a:solidFill>
              <a:latin typeface="Aptos Narrow"/>
            </a:rPr>
            <a:pPr algn="ctr"/>
            <a:t>Total Cost
$15,842,499</a:t>
          </a:fld>
          <a:endParaRPr lang="en-US" sz="1800" b="1">
            <a:solidFill>
              <a:schemeClr val="accent6">
                <a:lumMod val="75000"/>
              </a:schemeClr>
            </a:solidFill>
          </a:endParaRPr>
        </a:p>
      </xdr:txBody>
    </xdr:sp>
    <xdr:clientData/>
  </xdr:twoCellAnchor>
  <xdr:twoCellAnchor>
    <xdr:from>
      <xdr:col>6</xdr:col>
      <xdr:colOff>271253</xdr:colOff>
      <xdr:row>3</xdr:row>
      <xdr:rowOff>121185</xdr:rowOff>
    </xdr:from>
    <xdr:to>
      <xdr:col>9</xdr:col>
      <xdr:colOff>379560</xdr:colOff>
      <xdr:row>9</xdr:row>
      <xdr:rowOff>25497</xdr:rowOff>
    </xdr:to>
    <xdr:sp macro="" textlink="Pivots!U5">
      <xdr:nvSpPr>
        <xdr:cNvPr id="8" name="Rectangle: Rounded Corners 7">
          <a:extLst>
            <a:ext uri="{FF2B5EF4-FFF2-40B4-BE49-F238E27FC236}">
              <a16:creationId xmlns:a16="http://schemas.microsoft.com/office/drawing/2014/main" id="{62E8C3EE-3D10-40A4-B3F2-D387815386DF}"/>
            </a:ext>
          </a:extLst>
        </xdr:cNvPr>
        <xdr:cNvSpPr/>
      </xdr:nvSpPr>
      <xdr:spPr>
        <a:xfrm>
          <a:off x="4087879" y="312016"/>
          <a:ext cx="2016620"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8CA2EE-C01C-4B54-A4FF-88A793308B40}" type="TxLink">
            <a:rPr lang="en-US" sz="1800" b="1" i="0" u="none" strike="noStrike">
              <a:solidFill>
                <a:schemeClr val="accent6">
                  <a:lumMod val="75000"/>
                </a:schemeClr>
              </a:solidFill>
              <a:latin typeface="Aptos Narrow"/>
            </a:rPr>
            <a:pPr algn="ctr"/>
            <a:t>Median Cost
$5,778</a:t>
          </a:fld>
          <a:endParaRPr lang="en-US" sz="1800" b="1">
            <a:solidFill>
              <a:schemeClr val="accent6">
                <a:lumMod val="75000"/>
              </a:schemeClr>
            </a:solidFill>
          </a:endParaRPr>
        </a:p>
      </xdr:txBody>
    </xdr:sp>
    <xdr:clientData/>
  </xdr:twoCellAnchor>
  <xdr:twoCellAnchor>
    <xdr:from>
      <xdr:col>9</xdr:col>
      <xdr:colOff>418750</xdr:colOff>
      <xdr:row>3</xdr:row>
      <xdr:rowOff>121185</xdr:rowOff>
    </xdr:from>
    <xdr:to>
      <xdr:col>12</xdr:col>
      <xdr:colOff>527058</xdr:colOff>
      <xdr:row>9</xdr:row>
      <xdr:rowOff>25497</xdr:rowOff>
    </xdr:to>
    <xdr:sp macro="" textlink="Pivots!V5">
      <xdr:nvSpPr>
        <xdr:cNvPr id="9" name="Rectangle: Rounded Corners 8">
          <a:extLst>
            <a:ext uri="{FF2B5EF4-FFF2-40B4-BE49-F238E27FC236}">
              <a16:creationId xmlns:a16="http://schemas.microsoft.com/office/drawing/2014/main" id="{0EEE8D48-F160-403B-9BFC-77FD5FC5B2A3}"/>
            </a:ext>
          </a:extLst>
        </xdr:cNvPr>
        <xdr:cNvSpPr/>
      </xdr:nvSpPr>
      <xdr:spPr>
        <a:xfrm>
          <a:off x="6143689" y="312016"/>
          <a:ext cx="2016621"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E928EE-161D-4A30-842C-2F8D87DBBC4B}" type="TxLink">
            <a:rPr lang="en-US" sz="1600" b="1" i="0" u="none" strike="noStrike">
              <a:solidFill>
                <a:schemeClr val="accent6">
                  <a:lumMod val="75000"/>
                </a:schemeClr>
              </a:solidFill>
              <a:latin typeface="Aptos Narrow"/>
            </a:rPr>
            <a:pPr algn="ctr"/>
            <a:t>Number of Buildings
11</a:t>
          </a:fld>
          <a:endParaRPr lang="en-US" sz="1600" b="1">
            <a:solidFill>
              <a:schemeClr val="accent6">
                <a:lumMod val="75000"/>
              </a:schemeClr>
            </a:solidFill>
          </a:endParaRPr>
        </a:p>
      </xdr:txBody>
    </xdr:sp>
    <xdr:clientData/>
  </xdr:twoCellAnchor>
  <xdr:twoCellAnchor>
    <xdr:from>
      <xdr:col>12</xdr:col>
      <xdr:colOff>566285</xdr:colOff>
      <xdr:row>3</xdr:row>
      <xdr:rowOff>121185</xdr:rowOff>
    </xdr:from>
    <xdr:to>
      <xdr:col>16</xdr:col>
      <xdr:colOff>38411</xdr:colOff>
      <xdr:row>9</xdr:row>
      <xdr:rowOff>25497</xdr:rowOff>
    </xdr:to>
    <xdr:sp macro="" textlink="Pivots!W5">
      <xdr:nvSpPr>
        <xdr:cNvPr id="10" name="Rectangle: Rounded Corners 9">
          <a:extLst>
            <a:ext uri="{FF2B5EF4-FFF2-40B4-BE49-F238E27FC236}">
              <a16:creationId xmlns:a16="http://schemas.microsoft.com/office/drawing/2014/main" id="{7CB5BEFE-8302-4F2B-A339-7924ACABF175}"/>
            </a:ext>
          </a:extLst>
        </xdr:cNvPr>
        <xdr:cNvSpPr/>
      </xdr:nvSpPr>
      <xdr:spPr>
        <a:xfrm>
          <a:off x="8199537" y="312016"/>
          <a:ext cx="2016544"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585AB3-2836-4073-9743-308B61440788}" type="TxLink">
            <a:rPr lang="en-US" sz="1800" b="1" i="0" u="none" strike="noStrike">
              <a:solidFill>
                <a:schemeClr val="accent6">
                  <a:lumMod val="75000"/>
                </a:schemeClr>
              </a:solidFill>
              <a:latin typeface="Aptos Narrow"/>
            </a:rPr>
            <a:pPr algn="ctr"/>
            <a:t>Electricity Cost
$2,025,296</a:t>
          </a:fld>
          <a:endParaRPr lang="en-US" sz="1800" b="1">
            <a:solidFill>
              <a:schemeClr val="accent6">
                <a:lumMod val="75000"/>
              </a:schemeClr>
            </a:solidFill>
          </a:endParaRPr>
        </a:p>
      </xdr:txBody>
    </xdr:sp>
    <xdr:clientData/>
  </xdr:twoCellAnchor>
  <xdr:twoCellAnchor>
    <xdr:from>
      <xdr:col>16</xdr:col>
      <xdr:colOff>77639</xdr:colOff>
      <xdr:row>3</xdr:row>
      <xdr:rowOff>121185</xdr:rowOff>
    </xdr:from>
    <xdr:to>
      <xdr:col>19</xdr:col>
      <xdr:colOff>185947</xdr:colOff>
      <xdr:row>9</xdr:row>
      <xdr:rowOff>25497</xdr:rowOff>
    </xdr:to>
    <xdr:sp macro="" textlink="Pivots!Y5">
      <xdr:nvSpPr>
        <xdr:cNvPr id="11" name="Rectangle: Rounded Corners 10">
          <a:extLst>
            <a:ext uri="{FF2B5EF4-FFF2-40B4-BE49-F238E27FC236}">
              <a16:creationId xmlns:a16="http://schemas.microsoft.com/office/drawing/2014/main" id="{196171C0-84F4-47AF-9B14-2874E70F4723}"/>
            </a:ext>
          </a:extLst>
        </xdr:cNvPr>
        <xdr:cNvSpPr/>
      </xdr:nvSpPr>
      <xdr:spPr>
        <a:xfrm>
          <a:off x="10255309" y="312016"/>
          <a:ext cx="2016621"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FFDC66-8B92-4582-958E-1272AEDFE3D3}" type="TxLink">
            <a:rPr lang="en-US" sz="1800" b="1" i="0" u="none" strike="noStrike">
              <a:solidFill>
                <a:schemeClr val="accent6">
                  <a:lumMod val="75000"/>
                </a:schemeClr>
              </a:solidFill>
              <a:latin typeface="Aptos Narrow"/>
            </a:rPr>
            <a:pPr algn="ctr"/>
            <a:t>Gas Cost
$3,011,011</a:t>
          </a:fld>
          <a:endParaRPr lang="en-US" sz="1800" b="1">
            <a:solidFill>
              <a:schemeClr val="accent6">
                <a:lumMod val="75000"/>
              </a:schemeClr>
            </a:solidFill>
          </a:endParaRPr>
        </a:p>
      </xdr:txBody>
    </xdr:sp>
    <xdr:clientData/>
  </xdr:twoCellAnchor>
  <xdr:twoCellAnchor>
    <xdr:from>
      <xdr:col>19</xdr:col>
      <xdr:colOff>225136</xdr:colOff>
      <xdr:row>3</xdr:row>
      <xdr:rowOff>121185</xdr:rowOff>
    </xdr:from>
    <xdr:to>
      <xdr:col>22</xdr:col>
      <xdr:colOff>333443</xdr:colOff>
      <xdr:row>9</xdr:row>
      <xdr:rowOff>25497</xdr:rowOff>
    </xdr:to>
    <xdr:sp macro="" textlink="Pivots!AA5">
      <xdr:nvSpPr>
        <xdr:cNvPr id="12" name="Rectangle: Rounded Corners 11">
          <a:extLst>
            <a:ext uri="{FF2B5EF4-FFF2-40B4-BE49-F238E27FC236}">
              <a16:creationId xmlns:a16="http://schemas.microsoft.com/office/drawing/2014/main" id="{9E835258-FD32-44CF-BB44-15636D492E48}"/>
            </a:ext>
          </a:extLst>
        </xdr:cNvPr>
        <xdr:cNvSpPr/>
      </xdr:nvSpPr>
      <xdr:spPr>
        <a:xfrm>
          <a:off x="12311119" y="312016"/>
          <a:ext cx="2016620" cy="104930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2E4AA6-85E3-4F00-BFC6-8B8135D41B1B}" type="TxLink">
            <a:rPr lang="en-US" sz="1800" b="1" i="0" u="none" strike="noStrike">
              <a:solidFill>
                <a:schemeClr val="accent6">
                  <a:lumMod val="75000"/>
                </a:schemeClr>
              </a:solidFill>
              <a:latin typeface="Aptos Narrow"/>
            </a:rPr>
            <a:pPr algn="ctr"/>
            <a:t>Water Cost
$10,806,192</a:t>
          </a:fld>
          <a:endParaRPr lang="en-US" sz="1800" b="1">
            <a:solidFill>
              <a:schemeClr val="accent6">
                <a:lumMod val="75000"/>
              </a:schemeClr>
            </a:solidFill>
          </a:endParaRPr>
        </a:p>
      </xdr:txBody>
    </xdr:sp>
    <xdr:clientData/>
  </xdr:twoCellAnchor>
  <xdr:twoCellAnchor>
    <xdr:from>
      <xdr:col>3</xdr:col>
      <xdr:colOff>173789</xdr:colOff>
      <xdr:row>9</xdr:row>
      <xdr:rowOff>166978</xdr:rowOff>
    </xdr:from>
    <xdr:to>
      <xdr:col>12</xdr:col>
      <xdr:colOff>496636</xdr:colOff>
      <xdr:row>21</xdr:row>
      <xdr:rowOff>164299</xdr:rowOff>
    </xdr:to>
    <xdr:sp macro="" textlink="">
      <xdr:nvSpPr>
        <xdr:cNvPr id="13" name="Rectangle: Rounded Corners 12">
          <a:extLst>
            <a:ext uri="{FF2B5EF4-FFF2-40B4-BE49-F238E27FC236}">
              <a16:creationId xmlns:a16="http://schemas.microsoft.com/office/drawing/2014/main" id="{C26174B8-A715-4CB1-B011-B6D56946FA43}"/>
            </a:ext>
          </a:extLst>
        </xdr:cNvPr>
        <xdr:cNvSpPr/>
      </xdr:nvSpPr>
      <xdr:spPr>
        <a:xfrm>
          <a:off x="2082102" y="1502797"/>
          <a:ext cx="6047786" cy="2287297"/>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613935</xdr:colOff>
      <xdr:row>9</xdr:row>
      <xdr:rowOff>175105</xdr:rowOff>
    </xdr:from>
    <xdr:to>
      <xdr:col>22</xdr:col>
      <xdr:colOff>300598</xdr:colOff>
      <xdr:row>21</xdr:row>
      <xdr:rowOff>164299</xdr:rowOff>
    </xdr:to>
    <xdr:sp macro="" textlink="">
      <xdr:nvSpPr>
        <xdr:cNvPr id="14" name="Rectangle: Rounded Corners 13">
          <a:extLst>
            <a:ext uri="{FF2B5EF4-FFF2-40B4-BE49-F238E27FC236}">
              <a16:creationId xmlns:a16="http://schemas.microsoft.com/office/drawing/2014/main" id="{49815237-4832-4525-B907-2DFC1C61E46A}"/>
            </a:ext>
          </a:extLst>
        </xdr:cNvPr>
        <xdr:cNvSpPr/>
      </xdr:nvSpPr>
      <xdr:spPr>
        <a:xfrm>
          <a:off x="8247187" y="1510924"/>
          <a:ext cx="6047707" cy="2279170"/>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445937</xdr:colOff>
      <xdr:row>22</xdr:row>
      <xdr:rowOff>173790</xdr:rowOff>
    </xdr:from>
    <xdr:to>
      <xdr:col>16</xdr:col>
      <xdr:colOff>26371</xdr:colOff>
      <xdr:row>33</xdr:row>
      <xdr:rowOff>173244</xdr:rowOff>
    </xdr:to>
    <xdr:sp macro="" textlink="">
      <xdr:nvSpPr>
        <xdr:cNvPr id="16" name="Rectangle: Rounded Corners 15">
          <a:extLst>
            <a:ext uri="{FF2B5EF4-FFF2-40B4-BE49-F238E27FC236}">
              <a16:creationId xmlns:a16="http://schemas.microsoft.com/office/drawing/2014/main" id="{43AA3983-026E-4E7D-BFCD-4FF3F77FA5F0}"/>
            </a:ext>
          </a:extLst>
        </xdr:cNvPr>
        <xdr:cNvSpPr/>
      </xdr:nvSpPr>
      <xdr:spPr>
        <a:xfrm>
          <a:off x="6170876" y="3990416"/>
          <a:ext cx="4033165" cy="2098598"/>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104389</xdr:colOff>
      <xdr:row>22</xdr:row>
      <xdr:rowOff>173790</xdr:rowOff>
    </xdr:from>
    <xdr:to>
      <xdr:col>22</xdr:col>
      <xdr:colOff>321006</xdr:colOff>
      <xdr:row>33</xdr:row>
      <xdr:rowOff>173244</xdr:rowOff>
    </xdr:to>
    <xdr:sp macro="" textlink="">
      <xdr:nvSpPr>
        <xdr:cNvPr id="18" name="Rectangle: Rounded Corners 17">
          <a:extLst>
            <a:ext uri="{FF2B5EF4-FFF2-40B4-BE49-F238E27FC236}">
              <a16:creationId xmlns:a16="http://schemas.microsoft.com/office/drawing/2014/main" id="{D4A014B3-3A0E-42F0-A49B-EA8138D4BB3D}"/>
            </a:ext>
          </a:extLst>
        </xdr:cNvPr>
        <xdr:cNvSpPr/>
      </xdr:nvSpPr>
      <xdr:spPr>
        <a:xfrm>
          <a:off x="10282059" y="3990416"/>
          <a:ext cx="4033243" cy="2098598"/>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151301</xdr:colOff>
      <xdr:row>22</xdr:row>
      <xdr:rowOff>173790</xdr:rowOff>
    </xdr:from>
    <xdr:to>
      <xdr:col>9</xdr:col>
      <xdr:colOff>367918</xdr:colOff>
      <xdr:row>33</xdr:row>
      <xdr:rowOff>173244</xdr:rowOff>
    </xdr:to>
    <xdr:sp macro="" textlink="">
      <xdr:nvSpPr>
        <xdr:cNvPr id="19" name="Rectangle: Rounded Corners 18">
          <a:extLst>
            <a:ext uri="{FF2B5EF4-FFF2-40B4-BE49-F238E27FC236}">
              <a16:creationId xmlns:a16="http://schemas.microsoft.com/office/drawing/2014/main" id="{5B7C4F49-515D-41ED-AA63-C1C778C4B3A0}"/>
            </a:ext>
          </a:extLst>
        </xdr:cNvPr>
        <xdr:cNvSpPr/>
      </xdr:nvSpPr>
      <xdr:spPr>
        <a:xfrm>
          <a:off x="2059614" y="3990416"/>
          <a:ext cx="4033243" cy="2098598"/>
        </a:xfrm>
        <a:prstGeom prst="roundRect">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148481</xdr:colOff>
      <xdr:row>23</xdr:row>
      <xdr:rowOff>1721</xdr:rowOff>
    </xdr:from>
    <xdr:to>
      <xdr:col>22</xdr:col>
      <xdr:colOff>284072</xdr:colOff>
      <xdr:row>33</xdr:row>
      <xdr:rowOff>162825</xdr:rowOff>
    </xdr:to>
    <mc:AlternateContent xmlns:mc="http://schemas.openxmlformats.org/markup-compatibility/2006">
      <mc:Choice xmlns:cx6="http://schemas.microsoft.com/office/drawing/2016/5/12/chartex" Requires="cx6">
        <xdr:graphicFrame macro="">
          <xdr:nvGraphicFramePr>
            <xdr:cNvPr id="2" name="Chart 1">
              <a:extLst>
                <a:ext uri="{FF2B5EF4-FFF2-40B4-BE49-F238E27FC236}">
                  <a16:creationId xmlns:a16="http://schemas.microsoft.com/office/drawing/2014/main" id="{D6FC8E2A-EDF3-43AB-A72B-6BD3294E8D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326151" y="4009178"/>
              <a:ext cx="3952217" cy="20694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489336</xdr:colOff>
      <xdr:row>23</xdr:row>
      <xdr:rowOff>1721</xdr:rowOff>
    </xdr:from>
    <xdr:to>
      <xdr:col>15</xdr:col>
      <xdr:colOff>628653</xdr:colOff>
      <xdr:row>33</xdr:row>
      <xdr:rowOff>162825</xdr:rowOff>
    </xdr:to>
    <xdr:graphicFrame macro="">
      <xdr:nvGraphicFramePr>
        <xdr:cNvPr id="3" name="Chart 2">
          <a:extLst>
            <a:ext uri="{FF2B5EF4-FFF2-40B4-BE49-F238E27FC236}">
              <a16:creationId xmlns:a16="http://schemas.microsoft.com/office/drawing/2014/main" id="{B447710E-7174-4383-ACE1-A927482A5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193934</xdr:colOff>
      <xdr:row>23</xdr:row>
      <xdr:rowOff>1721</xdr:rowOff>
    </xdr:from>
    <xdr:to>
      <xdr:col>9</xdr:col>
      <xdr:colOff>329525</xdr:colOff>
      <xdr:row>33</xdr:row>
      <xdr:rowOff>162825</xdr:rowOff>
    </xdr:to>
    <xdr:graphicFrame macro="">
      <xdr:nvGraphicFramePr>
        <xdr:cNvPr id="4" name="Chart 3">
          <a:extLst>
            <a:ext uri="{FF2B5EF4-FFF2-40B4-BE49-F238E27FC236}">
              <a16:creationId xmlns:a16="http://schemas.microsoft.com/office/drawing/2014/main" id="{16B0C020-E6A7-47AA-ADC3-0D35605D9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54736</xdr:colOff>
      <xdr:row>10</xdr:row>
      <xdr:rowOff>15903</xdr:rowOff>
    </xdr:from>
    <xdr:to>
      <xdr:col>22</xdr:col>
      <xdr:colOff>228428</xdr:colOff>
      <xdr:row>21</xdr:row>
      <xdr:rowOff>125070</xdr:rowOff>
    </xdr:to>
    <xdr:graphicFrame macro="">
      <xdr:nvGraphicFramePr>
        <xdr:cNvPr id="15" name="Chart 14">
          <a:extLst>
            <a:ext uri="{FF2B5EF4-FFF2-40B4-BE49-F238E27FC236}">
              <a16:creationId xmlns:a16="http://schemas.microsoft.com/office/drawing/2014/main" id="{B1489278-A94B-44E6-82B0-6CE021FD8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252115</xdr:colOff>
      <xdr:row>10</xdr:row>
      <xdr:rowOff>8092</xdr:rowOff>
    </xdr:from>
    <xdr:to>
      <xdr:col>12</xdr:col>
      <xdr:colOff>420958</xdr:colOff>
      <xdr:row>21</xdr:row>
      <xdr:rowOff>128575</xdr:rowOff>
    </xdr:to>
    <xdr:graphicFrame macro="">
      <xdr:nvGraphicFramePr>
        <xdr:cNvPr id="5" name="Chart 4">
          <a:extLst>
            <a:ext uri="{FF2B5EF4-FFF2-40B4-BE49-F238E27FC236}">
              <a16:creationId xmlns:a16="http://schemas.microsoft.com/office/drawing/2014/main" id="{933DBEF2-5A11-4BDD-8A1E-A7185FC6F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275826</xdr:colOff>
      <xdr:row>12</xdr:row>
      <xdr:rowOff>179830</xdr:rowOff>
    </xdr:from>
    <xdr:to>
      <xdr:col>2</xdr:col>
      <xdr:colOff>563726</xdr:colOff>
      <xdr:row>19</xdr:row>
      <xdr:rowOff>56856</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B8010C26-FEE8-0681-BA40-6B516A8E237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5826" y="2088143"/>
              <a:ext cx="1560109" cy="1212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247702</xdr:colOff>
      <xdr:row>3</xdr:row>
      <xdr:rowOff>33944</xdr:rowOff>
    </xdr:from>
    <xdr:ext cx="1623393" cy="1594863"/>
    <xdr:sp macro="" textlink="">
      <xdr:nvSpPr>
        <xdr:cNvPr id="21" name="Rectangle 20">
          <a:extLst>
            <a:ext uri="{FF2B5EF4-FFF2-40B4-BE49-F238E27FC236}">
              <a16:creationId xmlns:a16="http://schemas.microsoft.com/office/drawing/2014/main" id="{95050AD3-90D2-8C3C-E82B-90E9B671B312}"/>
            </a:ext>
          </a:extLst>
        </xdr:cNvPr>
        <xdr:cNvSpPr/>
      </xdr:nvSpPr>
      <xdr:spPr>
        <a:xfrm>
          <a:off x="247702" y="224775"/>
          <a:ext cx="1623393" cy="1594863"/>
        </a:xfrm>
        <a:prstGeom prst="rect">
          <a:avLst/>
        </a:prstGeom>
        <a:noFill/>
        <a:ln>
          <a:noFill/>
        </a:ln>
      </xdr:spPr>
      <xdr:txBody>
        <a:bodyPr wrap="none" lIns="91440" tIns="45720" rIns="91440" bIns="45720" anchor="ctr">
          <a:noAutofit/>
        </a:bodyPr>
        <a:lstStyle/>
        <a:p>
          <a:pPr algn="ctr"/>
          <a:r>
            <a:rPr lang="en-US" sz="2000" b="1" cap="none" spc="0">
              <a:ln w="0"/>
              <a:solidFill>
                <a:schemeClr val="accent6">
                  <a:lumMod val="75000"/>
                </a:schemeClr>
              </a:solidFill>
              <a:effectLst>
                <a:outerShdw blurRad="38100" dist="19050" dir="2700000" algn="tl" rotWithShape="0">
                  <a:schemeClr val="dk1">
                    <a:alpha val="40000"/>
                  </a:schemeClr>
                </a:outerShdw>
              </a:effectLst>
            </a:rPr>
            <a:t>Energy</a:t>
          </a:r>
        </a:p>
        <a:p>
          <a:pPr algn="ctr"/>
          <a:r>
            <a:rPr lang="en-US" sz="2000" b="1" cap="none" spc="0">
              <a:ln w="0"/>
              <a:solidFill>
                <a:schemeClr val="accent6">
                  <a:lumMod val="75000"/>
                </a:schemeClr>
              </a:solidFill>
              <a:effectLst>
                <a:outerShdw blurRad="38100" dist="19050" dir="2700000" algn="tl" rotWithShape="0">
                  <a:schemeClr val="dk1">
                    <a:alpha val="40000"/>
                  </a:schemeClr>
                </a:outerShdw>
              </a:effectLst>
            </a:rPr>
            <a:t>Consumption</a:t>
          </a:r>
        </a:p>
        <a:p>
          <a:pPr algn="ctr"/>
          <a:r>
            <a:rPr lang="en-US" sz="2000" b="1" cap="none" spc="0">
              <a:ln w="0"/>
              <a:solidFill>
                <a:schemeClr val="accent6">
                  <a:lumMod val="75000"/>
                </a:schemeClr>
              </a:solidFill>
              <a:effectLst>
                <a:outerShdw blurRad="38100" dist="19050" dir="2700000" algn="tl" rotWithShape="0">
                  <a:schemeClr val="dk1">
                    <a:alpha val="40000"/>
                  </a:schemeClr>
                </a:outerShdw>
              </a:effectLst>
            </a:rPr>
            <a:t>Dashboard</a:t>
          </a:r>
        </a:p>
        <a:p>
          <a:pPr algn="ctr"/>
          <a:r>
            <a:rPr lang="en-US" sz="2000" b="1" cap="none" spc="0">
              <a:ln w="0"/>
              <a:solidFill>
                <a:schemeClr val="accent6">
                  <a:lumMod val="75000"/>
                </a:schemeClr>
              </a:solidFill>
              <a:effectLst>
                <a:outerShdw blurRad="38100" dist="19050" dir="2700000" algn="tl" rotWithShape="0">
                  <a:schemeClr val="dk1">
                    <a:alpha val="40000"/>
                  </a:schemeClr>
                </a:outerShdw>
              </a:effectLst>
            </a:rPr>
            <a:t>(Cost)</a:t>
          </a:r>
        </a:p>
      </xdr:txBody>
    </xdr:sp>
    <xdr:clientData/>
  </xdr:oneCellAnchor>
  <xdr:twoCellAnchor>
    <xdr:from>
      <xdr:col>0</xdr:col>
      <xdr:colOff>282561</xdr:colOff>
      <xdr:row>30</xdr:row>
      <xdr:rowOff>48502</xdr:rowOff>
    </xdr:from>
    <xdr:to>
      <xdr:col>2</xdr:col>
      <xdr:colOff>568406</xdr:colOff>
      <xdr:row>32</xdr:row>
      <xdr:rowOff>175136</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BC8BE34A-36EF-5E24-71AE-709106DA7C5B}"/>
            </a:ext>
          </a:extLst>
        </xdr:cNvPr>
        <xdr:cNvSpPr/>
      </xdr:nvSpPr>
      <xdr:spPr>
        <a:xfrm>
          <a:off x="282561" y="5391779"/>
          <a:ext cx="1558054" cy="508296"/>
        </a:xfrm>
        <a:prstGeom prst="roundRect">
          <a:avLst>
            <a:gd name="adj" fmla="val 50000"/>
          </a:avLst>
        </a:prstGeom>
        <a:gradFill>
          <a:gsLst>
            <a:gs pos="0">
              <a:schemeClr val="accent1">
                <a:lumMod val="5000"/>
                <a:lumOff val="95000"/>
              </a:schemeClr>
            </a:gs>
            <a:gs pos="100000">
              <a:schemeClr val="bg1">
                <a:lumMod val="95000"/>
                <a:alpha val="99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accent6">
                  <a:lumMod val="75000"/>
                </a:schemeClr>
              </a:solidFill>
            </a:rPr>
            <a:t>Consumption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5532407" backgroundQuery="1" createdVersion="8" refreshedVersion="8" minRefreshableVersion="3" recordCount="0" supportSubquery="1" supportAdvancedDrill="1" xr:uid="{9666576F-E571-4BCC-BD1E-70A10534C505}">
  <cacheSource type="external" connectionId="4"/>
  <cacheFields count="3">
    <cacheField name="[Building Master].[Building].[Building]" caption="Building" numFmtId="0" level="1">
      <sharedItems count="6">
        <s v="B1000"/>
        <s v="B1001"/>
        <s v="B1003"/>
        <s v="B1006"/>
        <s v="B1008"/>
        <s v="B1004" u="1"/>
      </sharedItems>
    </cacheField>
    <cacheField name="[Measures].[Total Cost]" caption="Total Cost" numFmtId="0" hierarchy="20"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2" memberValueDatatype="20" unbalanced="0"/>
    <cacheHierarchy uniqueName="[Energy Consumptions].[Key]" caption="Key" attribute="1" defaultMemberUniqueName="[Energy Consumptions].[Key].[All]" allUniqueName="[Energy Consumptions].[Key].[All]" dimensionUniqueName="[Energy Consumptions]" displayFolder="" count="2"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cacheHierarchy uniqueName="[Rates].[Price Per Unit]" caption="Price Per Unit" attribute="1" defaultMemberUniqueName="[Rates].[Price Per Unit].[All]" allUniqueName="[Rates].[Price Per Unit].[All]" dimensionUniqueName="[Rates]" displayFolder="" count="2" memberValueDatatype="5" unbalanced="0"/>
    <cacheHierarchy uniqueName="[Rates].[Key]" caption="Key" attribute="1" defaultMemberUniqueName="[Rates].[Key].[All]" allUniqueName="[Rates].[Key].[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587963" backgroundQuery="1" createdVersion="8" refreshedVersion="8" minRefreshableVersion="3" recordCount="0" supportSubquery="1" supportAdvancedDrill="1" xr:uid="{8051672D-B34C-4A43-988D-D3777833C42B}">
  <cacheSource type="external" connectionId="4"/>
  <cacheFields count="4">
    <cacheField name="[Measures].[Total Cost]" caption="Total Cost" numFmtId="0" hierarchy="20" level="32767"/>
    <cacheField name="[Measures].[Median Cost]" caption="Median Cost" numFmtId="0" hierarchy="17" level="32767"/>
    <cacheField name="[Measures].[Number of Buildings]" caption="Number of Buildings" numFmtId="0" hierarchy="18"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oneField="1">
      <fieldsUsage count="1">
        <fieldUsage x="1"/>
      </fieldsUsage>
    </cacheHierarchy>
    <cacheHierarchy uniqueName="[Measures].[Number of Buildings]" caption="Number of Buildings" measure="1" displayFolder="" measureGroup="Building Master" count="0" oneField="1">
      <fieldsUsage count="1">
        <fieldUsage x="2"/>
      </fieldsUsage>
    </cacheHierarchy>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587963" backgroundQuery="1" createdVersion="8" refreshedVersion="8" minRefreshableVersion="3" recordCount="0" supportSubquery="1" supportAdvancedDrill="1" xr:uid="{58279D61-2D1B-4D71-AD84-25FCF291F020}">
  <cacheSource type="external" connectionId="4"/>
  <cacheFields count="3">
    <cacheField name="[Measures].[Total Cost]" caption="Total Cost" numFmtId="0" hierarchy="20" level="32767"/>
    <cacheField name="[Rates].[Energy Type].[Energy Type]" caption="Energy Type" numFmtId="0" hierarchy="11" level="1">
      <sharedItems containsSemiMixedTypes="0" containsNonDate="0" containsString="0"/>
    </cacheField>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5995369" backgroundQuery="1" createdVersion="8" refreshedVersion="8" minRefreshableVersion="3" recordCount="0" supportSubquery="1" supportAdvancedDrill="1" xr:uid="{C734A877-0CE4-4484-9C14-BE144117CFC9}">
  <cacheSource type="external" connectionId="4"/>
  <cacheFields count="3">
    <cacheField name="[Measures].[Total Cost]" caption="Total Cost" numFmtId="0" hierarchy="20" level="32767"/>
    <cacheField name="[Rates].[Energy Type].[Energy Type]" caption="Energy Type" numFmtId="0" hierarchy="11" level="1">
      <sharedItems containsSemiMixedTypes="0" containsNonDate="0" containsString="0"/>
    </cacheField>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6226853" backgroundQuery="1" createdVersion="8" refreshedVersion="8" minRefreshableVersion="3" recordCount="0" supportSubquery="1" supportAdvancedDrill="1" xr:uid="{B7A9A461-B305-4493-99E1-002F0588C2A8}">
  <cacheSource type="external" connectionId="4"/>
  <cacheFields count="3">
    <cacheField name="[Building Master].[City].[City]" caption="City" numFmtId="0" hierarchy="1" level="1">
      <sharedItems count="5">
        <s v="Chicago"/>
        <s v="Houston"/>
        <s v="Los Angeles"/>
        <s v="New York"/>
        <s v="Phoenix"/>
      </sharedItems>
    </cacheField>
    <cacheField name="[Measures].[Total Cost]" caption="Total Cost" numFmtId="0" hierarchy="20"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6574077" backgroundQuery="1" createdVersion="8" refreshedVersion="8" minRefreshableVersion="3" recordCount="0" supportSubquery="1" supportAdvancedDrill="1" xr:uid="{723264FE-FAB0-489F-8C7E-C38356D20DF5}">
  <cacheSource type="external" connectionId="4"/>
  <cacheFields count="6">
    <cacheField name="[Energy Consumptions].[Date].[Date]" caption="Date" numFmtId="0" hierarchy="3" level="1">
      <sharedItems containsSemiMixedTypes="0" containsNonDate="0" containsDate="1" containsString="0" minDate="2016-01-01T00:00:00" maxDate="2019-12-02T00:00:00" count="48">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cacheField>
    <cacheField name="[Energy Consumptions].[Date (Month)].[Date (Month)]" caption="Date (Month)" numFmtId="0" hierarchy="9" level="1">
      <sharedItems count="12">
        <s v="Jan"/>
        <s v="Feb"/>
        <s v="Mar"/>
        <s v="Apr"/>
        <s v="May"/>
        <s v="Jun"/>
        <s v="Jul"/>
        <s v="Aug"/>
        <s v="Sep"/>
        <s v="Oct"/>
        <s v="Nov"/>
        <s v="Dec"/>
      </sharedItems>
    </cacheField>
    <cacheField name="[Energy Consumptions].[Date (Quarter)].[Date (Quarter)]" caption="Date (Quarter)" numFmtId="0" hierarchy="8" level="1">
      <sharedItems count="4">
        <s v="Qtr1"/>
        <s v="Qtr2"/>
        <s v="Qtr3"/>
        <s v="Qtr4"/>
      </sharedItems>
    </cacheField>
    <cacheField name="[Energy Consumptions].[Date (Year)].[Date (Year)]" caption="Date (Year)" numFmtId="0" hierarchy="7" level="1">
      <sharedItems count="4">
        <s v="2016"/>
        <s v="2017"/>
        <s v="2018"/>
        <s v="2019"/>
      </sharedItems>
    </cacheField>
    <cacheField name="[Measures].[Median Cost]" caption="Median Cost" numFmtId="0" hierarchy="17"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fieldsUsage count="2">
        <fieldUsage x="-1"/>
        <fieldUsage x="0"/>
      </fieldsUsage>
    </cacheHierarchy>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fieldsUsage count="2">
        <fieldUsage x="-1"/>
        <fieldUsage x="2"/>
      </fieldsUsage>
    </cacheHierarchy>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2" memberValueDatatype="20" unbalanced="0">
      <fieldsUsage count="2">
        <fieldUsage x="-1"/>
        <fieldUsage x="5"/>
      </fieldsUsage>
    </cacheHierarchy>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oneField="1">
      <fieldsUsage count="1">
        <fieldUsage x="4"/>
      </fieldsUsage>
    </cacheHierarchy>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6921293" backgroundQuery="1" createdVersion="8" refreshedVersion="8" minRefreshableVersion="3" recordCount="0" supportSubquery="1" supportAdvancedDrill="1" xr:uid="{7817B0D5-4E07-481F-8CD9-75E540351599}">
  <cacheSource type="external" connectionId="4"/>
  <cacheFields count="6">
    <cacheField name="[Energy Consumptions].[Date].[Date]" caption="Date" numFmtId="0" hierarchy="3" level="1">
      <sharedItems containsSemiMixedTypes="0" containsNonDate="0" containsDate="1" containsString="0" minDate="2016-01-01T00:00:00" maxDate="2019-12-02T00:00:00" count="48">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cacheField>
    <cacheField name="[Energy Consumptions].[Date (Month)].[Date (Month)]" caption="Date (Month)" numFmtId="0" hierarchy="9" level="1">
      <sharedItems count="12">
        <s v="Jan"/>
        <s v="Feb"/>
        <s v="Mar"/>
        <s v="Apr"/>
        <s v="May"/>
        <s v="Jun"/>
        <s v="Jul"/>
        <s v="Aug"/>
        <s v="Sep"/>
        <s v="Oct"/>
        <s v="Nov"/>
        <s v="Dec"/>
      </sharedItems>
    </cacheField>
    <cacheField name="[Energy Consumptions].[Date (Quarter)].[Date (Quarter)]" caption="Date (Quarter)" numFmtId="0" hierarchy="8" level="1">
      <sharedItems count="4">
        <s v="Qtr1"/>
        <s v="Qtr2"/>
        <s v="Qtr3"/>
        <s v="Qtr4"/>
      </sharedItems>
    </cacheField>
    <cacheField name="[Energy Consumptions].[Date (Year)].[Date (Year)]" caption="Date (Year)" numFmtId="0" hierarchy="7" level="1">
      <sharedItems count="4">
        <s v="2016"/>
        <s v="2017"/>
        <s v="2018"/>
        <s v="2019"/>
      </sharedItems>
    </cacheField>
    <cacheField name="[Measures].[Total Cost]" caption="Total Cost" numFmtId="0" hierarchy="20"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fieldsUsage count="2">
        <fieldUsage x="-1"/>
        <fieldUsage x="0"/>
      </fieldsUsage>
    </cacheHierarchy>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fieldsUsage count="2">
        <fieldUsage x="-1"/>
        <fieldUsage x="2"/>
      </fieldsUsage>
    </cacheHierarchy>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2" memberValueDatatype="20" unbalanced="0">
      <fieldsUsage count="2">
        <fieldUsage x="-1"/>
        <fieldUsage x="5"/>
      </fieldsUsage>
    </cacheHierarchy>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4"/>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7268516" backgroundQuery="1" createdVersion="8" refreshedVersion="8" minRefreshableVersion="3" recordCount="0" supportSubquery="1" supportAdvancedDrill="1" xr:uid="{765547FC-AA0D-4B7A-A030-A04C158149BD}">
  <cacheSource type="external" connectionId="4"/>
  <cacheFields count="3">
    <cacheField name="[Rates].[Energy Type].[Energy Type]" caption="Energy Type" numFmtId="0" hierarchy="11" level="1">
      <sharedItems count="3">
        <s v="Electricity"/>
        <s v="Gas"/>
        <s v="Water"/>
      </sharedItems>
    </cacheField>
    <cacheField name="[Measures].[Total Cost]" caption="Total Cost" numFmtId="0" hierarchy="20" level="32767"/>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1"/>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58.768087384262" backgroundQuery="1" createdVersion="8" refreshedVersion="8" minRefreshableVersion="3" recordCount="0" supportSubquery="1" supportAdvancedDrill="1" xr:uid="{4178F5DA-4E12-4FDF-BCA3-F8B780A22833}">
  <cacheSource type="external" connectionId="4"/>
  <cacheFields count="3">
    <cacheField name="[Measures].[Total Cost]" caption="Total Cost" numFmtId="0" hierarchy="20" level="32767"/>
    <cacheField name="[Rates].[Energy Type].[Energy Type]" caption="Energy Type" numFmtId="0" hierarchy="11" level="1">
      <sharedItems containsSemiMixedTypes="0" containsNonDate="0" containsString="0"/>
    </cacheField>
    <cacheField name="[Rates].[Year].[Year]" caption="Year" numFmtId="0" hierarchy="10" level="1">
      <sharedItems containsSemiMixedTypes="0" containsNonDate="0" containsString="0"/>
    </cacheField>
  </cacheFields>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2"/>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yyad" refreshedDate="46049.881333217592" backgroundQuery="1" createdVersion="3" refreshedVersion="8" minRefreshableVersion="3" recordCount="0" supportSubquery="1" supportAdvancedDrill="1" xr:uid="{2FA5F320-2EC1-493A-8BF4-F727F7B101BE}">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Consumption]" caption="Consumption" attribute="1" defaultMemberUniqueName="[Energy Consumptions].[Consumption].[All]" allUniqueName="[Energy Consumptions].[Consumption].[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Consumption]" caption="Sum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Average of Consumption]" caption="Average of Consumption" measure="1" displayFolder="" measureGroup="Energy Consumptions" count="0">
      <extLst>
        <ext xmlns:x15="http://schemas.microsoft.com/office/spreadsheetml/2010/11/main" uri="{B97F6D7D-B522-45F9-BDA1-12C45D357490}">
          <x15:cacheHierarchy aggregatedColumn="5"/>
        </ext>
      </extLst>
    </cacheHierarchy>
    <cacheHierarchy uniqueName="[Measures].[Median Cost]" caption="Median Cost" measure="1" displayFolder="" measureGroup="Energy Consumptions" count="0"/>
    <cacheHierarchy uniqueName="[Measures].[Number of Buildings]" caption="Number of Buildings" measure="1" displayFolder="" measureGroup="Building Master" count="0"/>
    <cacheHierarchy uniqueName="[Measures].[Average Consumption (ALL)]" caption="Average Consumption (ALL)" measure="1" displayFolder="" measureGroup="Energy Consumptions" count="0"/>
    <cacheHierarchy uniqueName="[Measures].[Total Cost]" caption="Total Cost" measure="1" displayFolder="" measureGroup="Energy Consumptions" count="0"/>
    <cacheHierarchy uniqueName="[Measures].[Average Consumption]" caption="Average Consumption" measure="1" displayFolder="" measureGroup="Energy Consumptions" count="0"/>
    <cacheHierarchy uniqueName="[Measures].[__XL_Count Building Master]" caption="__XL_Count Building Master" measure="1" displayFolder="" measureGroup="Building Master" count="0" hidden="1"/>
    <cacheHierarchy uniqueName="[Measures].[__XL_Count Rates]" caption="__XL_Count Rates" measure="1" displayFolder="" measureGroup="Rates"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y uniqueName="[Measures].[_Total Cost Goal]" caption="_Total Cost Goal" measure="1" displayFolder="" measureGroup="Energy Consumptions" count="0" hidden="1"/>
    <cacheHierarchy uniqueName="[Measures].[_Total Cost Status]" caption="_Total Cost Status" measure="1" iconSet="11" displayFolder="" measureGroup="Energy Consumptions" count="0" hidden="1"/>
    <cacheHierarchy uniqueName="[Measures].[_Average Consumption Goal]" caption="_Average Consumption Goal" measure="1" displayFolder="" measureGroup="Energy Consumptions" count="0" hidden="1"/>
    <cacheHierarchy uniqueName="[Measures].[_Average Consumption Status]" caption="_Average Consumption Status" measure="1" iconSet="11" displayFolder="" measureGroup="Energy Consumptions" count="0" hidden="1"/>
  </cacheHierarchies>
  <kpis count="2">
    <kpi uniqueName="Total Cost" caption="Total Cost" displayFolder="" measureGroup="Energy Consumptions" parent="" value="[Measures].[Total Cost]" goal="[Measures].[_Total Cost Goal]" status="[Measures].[_Total Cost Status]" trend="" weight=""/>
    <kpi uniqueName="Average Consumption" caption="Average Consumption" displayFolder="" measureGroup="Energy Consumptions" parent="" value="[Measures].[Average Consumption]" goal="[Measures].[_Average Consumption Goal]" status="[Measures].[_Average Consumption Status]" trend="" weight=""/>
  </kpis>
  <extLst>
    <ext xmlns:x14="http://schemas.microsoft.com/office/spreadsheetml/2009/9/main" uri="{725AE2AE-9491-48be-B2B4-4EB974FC3084}">
      <x14:pivotCacheDefinition slicerData="1" pivotCacheId="12798435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8492F7-BE8F-488D-A813-2CAF15DD0CE5}" name="PivotTable3"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Y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mp;[Gas]" cap="Gas"/>
  </pageFields>
  <dataFields count="1">
    <dataField name="Total Cost"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21DC5-FE76-49C0-9CC0-7F3020A88C64}" name="PivotTable2"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W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mp;[Electricity]" cap="Electricity"/>
  </pageFields>
  <dataFields count="1">
    <dataField name="Total Cost"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6F0D4E-33B6-41BC-8826-BF4151F1B3C4}" name="PivotTable7" cacheId="168" applyNumberFormats="0" applyBorderFormats="0" applyFontFormats="0" applyPatternFormats="0" applyAlignmentFormats="0" applyWidthHeightFormats="1" dataCaption="Values" tag="430b233b-2716-45e6-bd3a-b434140b320d" updatedVersion="8" minRefreshableVersion="3" useAutoFormatting="1" itemPrintTitles="1" createdVersion="8" indent="0" outline="1" outlineData="1" multipleFieldFilters="0" chartFormat="8">
  <location ref="M1:N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Cost"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EF3117-3C55-423F-A0DE-6A758577F2D6}" name="PivotTable6" cacheId="165" applyNumberFormats="0" applyBorderFormats="0" applyFontFormats="0" applyPatternFormats="0" applyAlignmentFormats="0" applyWidthHeightFormats="1" dataCaption="Values" tag="4c8c768c-7ea5-46f9-b014-b2425f5caccc" updatedVersion="8" minRefreshableVersion="3" useAutoFormatting="1" subtotalHiddenItems="1" itemPrintTitles="1" createdVersion="8" indent="0" outline="1" outlineData="1" multipleFieldFilters="0" chartFormat="10">
  <location ref="J1:K70" firstHeaderRow="1" firstDataRow="1" firstDataCol="1"/>
  <pivotFields count="6">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4">
    <field x="3"/>
    <field x="2"/>
    <field x="1"/>
    <field x="0"/>
  </rowFields>
  <rowItems count="69">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t="grand">
      <x/>
    </i>
  </rowItems>
  <colItems count="1">
    <i/>
  </colItems>
  <dataFields count="1">
    <dataField name="Total Cost" fld="4" subtotal="count" showDataAs="percentDiff" baseField="1" baseItem="1048828"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4">
    <rowHierarchyUsage hierarchyUsage="7"/>
    <rowHierarchyUsage hierarchyUsage="8"/>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F81C9A-88E5-454B-BCF7-B8C3F397B4CE}" name="PivotTable5" cacheId="162" applyNumberFormats="0" applyBorderFormats="0" applyFontFormats="0" applyPatternFormats="0" applyAlignmentFormats="0" applyWidthHeightFormats="1" dataCaption="Values" tag="14f2e67c-98cb-49f7-a827-a021491637d3" updatedVersion="8" minRefreshableVersion="3" useAutoFormatting="1" subtotalHiddenItems="1" itemPrintTitles="1" createdVersion="8" indent="0" outline="1" outlineData="1" multipleFieldFilters="0" chartFormat="9">
  <location ref="G1:H70" firstHeaderRow="1" firstDataRow="1" firstDataCol="1"/>
  <pivotFields count="6">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4">
    <field x="3"/>
    <field x="2"/>
    <field x="1"/>
    <field x="0"/>
  </rowFields>
  <rowItems count="69">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t="grand">
      <x/>
    </i>
  </rowItems>
  <colItems count="1">
    <i/>
  </colItems>
  <dataFields count="1">
    <dataField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4">
    <rowHierarchyUsage hierarchyUsage="7"/>
    <rowHierarchyUsage hierarchyUsage="8"/>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7FEA95-450E-4F16-8728-25B5E43332A3}" name="PivotTable8" cacheId="147" applyNumberFormats="0" applyBorderFormats="0" applyFontFormats="0" applyPatternFormats="0" applyAlignmentFormats="0" applyWidthHeightFormats="1" dataCaption="Values" tag="3bd45335-ba0b-4e3f-8bdd-fbeb5284a035" updatedVersion="8" minRefreshableVersion="3" useAutoFormatting="1" itemPrintTitles="1" createdVersion="8" indent="0" outline="1" outlineData="1" multipleFieldFilters="0" chartFormat="9">
  <location ref="P1:Q7" firstHeaderRow="1" firstDataRow="1" firstDataCol="1"/>
  <pivotFields count="3">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1"/>
    </i>
    <i>
      <x/>
    </i>
    <i>
      <x v="2"/>
    </i>
    <i t="grand">
      <x/>
    </i>
  </rowItems>
  <colItems count="1">
    <i/>
  </colItems>
  <dataFields count="1">
    <dataField name="Total Cost" fld="1" subtotal="count"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A34E66-65BA-46DD-9BFF-24BCE2F257E3}" name="PivotTable1"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V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Cost" fld="0" subtotal="count" baseField="0" baseItem="0"/>
    <dataField fld="1" subtotal="count" baseField="0" baseItem="0"/>
    <dataField fld="2"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5B06ED-9833-4DAD-A6A1-C26E4BF445A5}" name="PivotTable9"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A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mp;[Water]" cap="Water"/>
  </pageFields>
  <dataFields count="1">
    <dataField name="Total Cost"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D92E96-8694-4A8B-823F-0C527F5E0B37}" name="PivotTable4" cacheId="159" applyNumberFormats="0" applyBorderFormats="0" applyFontFormats="0" applyPatternFormats="0" applyAlignmentFormats="0" applyWidthHeightFormats="1" dataCaption="Values" tag="9657e28b-1aa6-4e0e-8e32-7d8e60e3db82" updatedVersion="8" minRefreshableVersion="3" useAutoFormatting="1" itemPrintTitles="1" createdVersion="8" indent="0" outline="1" outlineData="1" multipleFieldFilters="0">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Cost"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ew%20York%20(state)" TargetMode="External"/><Relationship Id="rId3" Type="http://schemas.openxmlformats.org/officeDocument/2006/relationships/hyperlink" Target="https://www.bing.com/th?id=OSK.64a722b3d40292398291610dc8c47d2c&amp;qlt=95" TargetMode="External"/><Relationship Id="rId7" Type="http://schemas.openxmlformats.org/officeDocument/2006/relationships/hyperlink" Target="https://www.bing.com/th?id=OSK.cba7f275842a20f49b98d704e1366fd5&amp;qlt=95" TargetMode="External"/><Relationship Id="rId12" Type="http://schemas.openxmlformats.org/officeDocument/2006/relationships/hyperlink" Target="https://www.bing.com/images/search?form=xlimg&amp;q=Phoenix,%20Arizona" TargetMode="External"/><Relationship Id="rId2" Type="http://schemas.openxmlformats.org/officeDocument/2006/relationships/hyperlink" Target="https://www.bing.com/images/search?form=xlimg&amp;q=Illinois" TargetMode="External"/><Relationship Id="rId1" Type="http://schemas.openxmlformats.org/officeDocument/2006/relationships/hyperlink" Target="https://www.bing.com/th?id=OSK.25a374587d56b5b92ef759ecb4ca433e&amp;qlt=95" TargetMode="External"/><Relationship Id="rId6" Type="http://schemas.openxmlformats.org/officeDocument/2006/relationships/hyperlink" Target="https://www.bing.com/images/search?form=xlimg&amp;q=California" TargetMode="External"/><Relationship Id="rId11" Type="http://schemas.openxmlformats.org/officeDocument/2006/relationships/hyperlink" Target="https://www.bing.com/th?id=OSK.9e8d8b39f5e82ab79a68413dbad9a090&amp;qlt=95" TargetMode="External"/><Relationship Id="rId5" Type="http://schemas.openxmlformats.org/officeDocument/2006/relationships/hyperlink" Target="https://www.bing.com/th?id=OSK.00be164b931c0a9427c0a2ebdae3e140&amp;qlt=95" TargetMode="External"/><Relationship Id="rId10" Type="http://schemas.openxmlformats.org/officeDocument/2006/relationships/hyperlink" Target="https://www.bing.com/images/search?form=xlimg&amp;q=Arizona" TargetMode="External"/><Relationship Id="rId4" Type="http://schemas.openxmlformats.org/officeDocument/2006/relationships/hyperlink" Target="https://www.bing.com/images/search?form=xlimg&amp;q=Texas" TargetMode="External"/><Relationship Id="rId9" Type="http://schemas.openxmlformats.org/officeDocument/2006/relationships/hyperlink" Target="https://www.bing.com/th?id=OSK.0641697055dc04237b54e70519cef566&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Srd>
</file>

<file path=xl/richData/rdarray.xml><?xml version="1.0" encoding="utf-8"?>
<arrayData xmlns="http://schemas.microsoft.com/office/spreadsheetml/2017/richdata2" count="11">
  <a r="4">
    <v t="r">9</v>
    <v t="r">10</v>
    <v t="r">11</v>
    <v t="r">12</v>
  </a>
  <a r="1">
    <v t="s">English</v>
  </a>
  <a r="1">
    <v t="s">Central Time Zone</v>
  </a>
  <a r="4">
    <v t="r">47</v>
    <v t="r">48</v>
    <v t="r">49</v>
    <v t="r">50</v>
  </a>
  <a r="4">
    <v t="r">81</v>
    <v t="r">82</v>
    <v t="r">83</v>
    <v t="r">84</v>
  </a>
  <a r="1">
    <v t="s">Pacific Time Zone</v>
  </a>
  <a r="4">
    <v t="r">117</v>
    <v t="r">118</v>
    <v t="r">119</v>
    <v t="r">120</v>
  </a>
  <a r="1">
    <v t="s">Eastern Time Zone</v>
  </a>
  <a r="4">
    <v t="r">149</v>
    <v t="r">150</v>
    <v t="r">151</v>
    <v t="r">152</v>
  </a>
  <a r="1">
    <v t="s">Mountain Time Zone</v>
  </a>
  <a r="1">
    <v t="r">182</v>
  </a>
</arrayData>
</file>

<file path=xl/richData/rdrichvalue.xml><?xml version="1.0" encoding="utf-8"?>
<rvData xmlns="http://schemas.microsoft.com/office/spreadsheetml/2017/richdata" count="188">
  <rv s="0">
    <v>536870912</v>
    <v>Illinois</v>
    <v>4131acb8-628a-4241-8920-ca79eab9dade</v>
    <v>en-US</v>
    <v>Map</v>
  </rv>
  <rv s="1">
    <fb>149998</fb>
    <v>11</v>
  </rv>
  <rv s="1">
    <fb>22603</fb>
    <v>11</v>
  </rv>
  <rv s="0">
    <v>536870912</v>
    <v>Springfield, Illinois</v>
    <v>dc562bf8-bf83-4505-8a1b-0bdb5bd605f8</v>
    <v>en-US</v>
    <v>Map</v>
  </rv>
  <rv s="0">
    <v>536870912</v>
    <v>United States</v>
    <v>5232ed96-85b1-2edb-12c6-63e6c597a1de</v>
    <v>en-US</v>
    <v>Map</v>
  </rv>
  <rv s="1">
    <fb>4786388</fb>
    <v>11</v>
  </rv>
  <rv s="1">
    <fb>5326970</fb>
    <v>11</v>
  </rv>
  <rv s="2">
    <v>0</v>
    <v>9</v>
    <v>0</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0</v>
  </rv>
  <rv s="4">
    <v>https://www.bing.com/search?q=illinois&amp;form=skydnc</v>
    <v>Learn more on Bing</v>
  </rv>
  <rv s="1">
    <fb>907</fb>
    <v>12</v>
  </rv>
  <rv s="1">
    <fb>57574</fb>
    <v>12</v>
  </rv>
  <rv s="1">
    <fb>173800</fb>
    <v>12</v>
  </rv>
  <rv s="3">
    <v>1</v>
  </rv>
  <rv s="1">
    <fb>2.63</fb>
    <v>13</v>
  </rv>
  <rv s="1">
    <fb>12710158</fb>
    <v>11</v>
  </rv>
  <rv s="1">
    <fb>-2E-3</fb>
    <v>14</v>
  </rv>
  <rv s="1">
    <fb>0.14199999999999999</fb>
    <v>14</v>
  </rv>
  <rv s="1">
    <fb>6.0000000000000001E-3</fb>
    <v>15</v>
  </rv>
  <rv s="1">
    <fb>5.5E-2</fb>
    <v>14</v>
  </rv>
  <rv s="1">
    <fb>0.32299999999999995</fb>
    <v>14</v>
  </rv>
  <rv s="1">
    <fb>0.14699999999999999</fb>
    <v>14</v>
  </rv>
  <rv s="1">
    <fb>0.14000000000000001</fb>
    <v>14</v>
  </rv>
  <rv s="1">
    <fb>0.879</fb>
    <v>14</v>
  </rv>
  <rv s="1">
    <fb>0.16899999999999998</fb>
    <v>14</v>
  </rv>
  <rv s="1">
    <fb>0.65599999999999992</fb>
    <v>14</v>
  </rv>
  <rv s="1">
    <fb>1E-3</fb>
    <v>14</v>
  </rv>
  <rv s="1">
    <fb>7.0999999999999994E-2</fb>
    <v>14</v>
  </rv>
  <rv s="1">
    <fb>1.9E-2</fb>
    <v>14</v>
  </rv>
  <rv s="1">
    <fb>0.23</fb>
    <v>14</v>
  </rv>
  <rv s="1">
    <fb>6.0999999999999999E-2</fb>
    <v>14</v>
  </rv>
  <rv s="1">
    <fb>0.77300000000000002</fb>
    <v>14</v>
  </rv>
  <rv s="3">
    <v>2</v>
  </rv>
  <rv s="5">
    <v>#VALUE!</v>
    <v>en-US</v>
    <v>4131acb8-628a-4241-8920-ca79eab9dade</v>
    <v>536870912</v>
    <v>1</v>
    <v>4</v>
    <v>5</v>
    <v>Illinois</v>
    <v>7</v>
    <v>8</v>
    <v>Map</v>
    <v>9</v>
    <v>10</v>
    <v>US-IL</v>
    <v>1</v>
    <v>2</v>
    <v>3</v>
    <v>4</v>
    <v>Illinois is a state in the Midwestern region of the United States. It borders on Lake Michigan to its northeast, the Mississippi River to its west, and the Wabash and Ohio rivers to its south. Of the fifty U.S. states, Illinois has the ...</v>
    <v>5</v>
    <v>6</v>
    <v>7</v>
    <v>8</v>
    <v>13</v>
    <v>14</v>
    <v>15</v>
    <v>16</v>
    <v>17</v>
    <v>Illinois</v>
    <v>18</v>
    <v>19</v>
    <v>20</v>
    <v>21</v>
    <v>22</v>
    <v>23</v>
    <v>24</v>
    <v>25</v>
    <v>26</v>
    <v>27</v>
    <v>28</v>
    <v>29</v>
    <v>30</v>
    <v>31</v>
    <v>32</v>
    <v>33</v>
    <v>34</v>
    <v>35</v>
    <v>36</v>
    <v>37</v>
    <v>Illinois</v>
    <v>mdp/vdpid/14808</v>
  </rv>
  <rv s="0">
    <v>536870912</v>
    <v>Texas</v>
    <v>00a23ccd-3344-461c-8b9f-c2bb55be5815</v>
    <v>en-US</v>
    <v>Map</v>
  </rv>
  <rv s="1">
    <fb>696241</fb>
    <v>11</v>
  </rv>
  <rv s="1">
    <fb>165853</fb>
    <v>11</v>
  </rv>
  <rv s="0">
    <v>536870912</v>
    <v>Austin, Texas</v>
    <v>afd7d7f6-01a2-401c-bb4d-59f7e34d585c</v>
    <v>en-US</v>
    <v>Map</v>
  </rv>
  <rv s="1">
    <fb>9149196</fb>
    <v>11</v>
  </rv>
  <rv s="1">
    <fb>10753629</fb>
    <v>11</v>
  </rv>
  <rv s="2">
    <v>1</v>
    <v>9</v>
    <v>16</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3</v>
  </rv>
  <rv s="4">
    <v>https://www.bing.com/search?q=texas&amp;form=skydnc</v>
    <v>Learn more on Bing</v>
  </rv>
  <rv s="1">
    <fb>882</fb>
    <v>12</v>
  </rv>
  <rv s="1">
    <fb>53207</fb>
    <v>12</v>
  </rv>
  <rv s="1">
    <fb>136000</fb>
    <v>12</v>
  </rv>
  <rv s="1">
    <fb>2.84</fb>
    <v>13</v>
  </rv>
  <rv s="1">
    <fb>31290831</fb>
    <v>11</v>
  </rv>
  <rv s="1">
    <fb>0.10800000000000001</fb>
    <v>14</v>
  </rv>
  <rv s="1">
    <fb>0.11699999999999999</fb>
    <v>14</v>
  </rv>
  <rv s="1">
    <fb>0.01</fb>
    <v>15</v>
  </rv>
  <rv s="1">
    <fb>4.7E-2</fb>
    <v>14</v>
  </rv>
  <rv s="1">
    <fb>0.27600000000000002</fb>
    <v>14</v>
  </rv>
  <rv s="1">
    <fb>0.125</fb>
    <v>14</v>
  </rv>
  <rv s="1">
    <fb>0.16600000000000001</fb>
    <v>14</v>
  </rv>
  <rv s="1">
    <fb>0.81900000000000006</fb>
    <v>14</v>
  </rv>
  <rv s="1">
    <fb>0.38799999999999996</fb>
    <v>14</v>
  </rv>
  <rv s="1">
    <fb>0.64300000000000002</fb>
    <v>14</v>
  </rv>
  <rv s="1">
    <fb>8.1000000000000003E-2</fb>
    <v>14</v>
  </rv>
  <rv s="1">
    <fb>0.26300000000000001</fb>
    <v>14</v>
  </rv>
  <rv s="1">
    <fb>7.2000000000000008E-2</fb>
    <v>14</v>
  </rv>
  <rv s="1">
    <fb>0.79700000000000004</fb>
    <v>14</v>
  </rv>
  <rv s="6">
    <v>#VALUE!</v>
    <v>en-US</v>
    <v>00a23ccd-3344-461c-8b9f-c2bb55be5815</v>
    <v>536870912</v>
    <v>1</v>
    <v>19</v>
    <v>20</v>
    <v>Texas</v>
    <v>7</v>
    <v>8</v>
    <v>Map</v>
    <v>9</v>
    <v>10</v>
    <v>US-TX</v>
    <v>40</v>
    <v>41</v>
    <v>42</v>
    <v>4</v>
    <v>Texas is the most populous state in the South Central region of the United States. It borders Louisiana to the east, Arkansas to the northeast, Oklahoma to the north, New Mexico to the west, and has an international border with the Mexican ...</v>
    <v>43</v>
    <v>44</v>
    <v>45</v>
    <v>46</v>
    <v>51</v>
    <v>52</v>
    <v>53</v>
    <v>54</v>
    <v>55</v>
    <v>Texas</v>
    <v>56</v>
    <v>57</v>
    <v>58</v>
    <v>59</v>
    <v>60</v>
    <v>61</v>
    <v>62</v>
    <v>63</v>
    <v>64</v>
    <v>65</v>
    <v>66</v>
    <v>67</v>
    <v>31</v>
    <v>68</v>
    <v>33</v>
    <v>69</v>
    <v>70</v>
    <v>71</v>
    <v>37</v>
    <v>Texas</v>
    <v>mdp/vdpid/33145</v>
  </rv>
  <rv s="0">
    <v>536870912</v>
    <v>California</v>
    <v>3009d91d-d582-4c34-85ba-772ba09e5be1</v>
    <v>en-US</v>
    <v>Map</v>
  </rv>
  <rv s="1">
    <fb>423970</fb>
    <v>11</v>
  </rv>
  <rv s="1">
    <fb>102350</fb>
    <v>11</v>
  </rv>
  <rv s="0">
    <v>536870912</v>
    <v>Sacramento, California</v>
    <v>4a1a8070-cc3d-4060-af9c-08ccbbca73d7</v>
    <v>en-US</v>
    <v>Map</v>
  </rv>
  <rv s="1">
    <fb>12717801</fb>
    <v>11</v>
  </rv>
  <rv s="1">
    <fb>14060525</fb>
    <v>11</v>
  </rv>
  <rv s="2">
    <v>2</v>
    <v>9</v>
    <v>21</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4</v>
  </rv>
  <rv s="4">
    <v>https://www.bing.com/search?q=california&amp;form=skydnc</v>
    <v>Learn more on Bing</v>
  </rv>
  <rv s="1">
    <fb>1255</fb>
    <v>12</v>
  </rv>
  <rv s="1">
    <fb>61818</fb>
    <v>12</v>
  </rv>
  <rv s="1">
    <fb>385500</fb>
    <v>12</v>
  </rv>
  <rv s="1">
    <fb>2.96</fb>
    <v>13</v>
  </rv>
  <rv s="1">
    <fb>39431263</fb>
    <v>11</v>
  </rv>
  <rv s="1">
    <fb>5.4000000000000006E-2</fb>
    <v>14</v>
  </rv>
  <rv s="1">
    <fb>0.13300000000000001</fb>
    <v>14</v>
  </rv>
  <rv s="1">
    <fb>1.7000000000000001E-2</fb>
    <v>15</v>
  </rv>
  <rv s="1">
    <fb>0.314</fb>
    <v>14</v>
  </rv>
  <rv s="1">
    <fb>6.5000000000000002E-2</fb>
    <v>14</v>
  </rv>
  <rv s="1">
    <fb>0.27</fb>
    <v>14</v>
  </rv>
  <rv s="1">
    <fb>0.81799999999999995</fb>
    <v>14</v>
  </rv>
  <rv s="1">
    <fb>0.63100000000000001</fb>
    <v>14</v>
  </rv>
  <rv s="1">
    <fb>5.0000000000000001E-3</fb>
    <v>14</v>
  </rv>
  <rv s="1">
    <fb>6.8000000000000005E-2</fb>
    <v>14</v>
  </rv>
  <rv s="1">
    <fb>3.7999999999999999E-2</fb>
    <v>14</v>
  </rv>
  <rv s="1">
    <fb>0.23300000000000001</fb>
    <v>14</v>
  </rv>
  <rv s="1">
    <fb>6.4000000000000001E-2</fb>
    <v>14</v>
  </rv>
  <rv s="1">
    <fb>0.72900000000000009</fb>
    <v>14</v>
  </rv>
  <rv s="3">
    <v>5</v>
  </rv>
  <rv s="5">
    <v>#VALUE!</v>
    <v>en-US</v>
    <v>3009d91d-d582-4c34-85ba-772ba09e5be1</v>
    <v>536870912</v>
    <v>1</v>
    <v>24</v>
    <v>5</v>
    <v>California</v>
    <v>7</v>
    <v>8</v>
    <v>Map</v>
    <v>9</v>
    <v>10</v>
    <v>US-CA</v>
    <v>74</v>
    <v>75</v>
    <v>76</v>
    <v>4</v>
    <v>California is a state in the Western region of the United States that lies on the Pacific Coast. It borders Oregon to the north, Nevada and Arizona to the east, and shares an international border with the Mexican state of Baja California to the ...</v>
    <v>77</v>
    <v>78</v>
    <v>79</v>
    <v>80</v>
    <v>85</v>
    <v>86</v>
    <v>87</v>
    <v>88</v>
    <v>89</v>
    <v>California</v>
    <v>18</v>
    <v>90</v>
    <v>91</v>
    <v>92</v>
    <v>93</v>
    <v>94</v>
    <v>26</v>
    <v>95</v>
    <v>96</v>
    <v>97</v>
    <v>98</v>
    <v>66</v>
    <v>99</v>
    <v>100</v>
    <v>101</v>
    <v>102</v>
    <v>103</v>
    <v>104</v>
    <v>105</v>
    <v>106</v>
    <v>California</v>
    <v>mdp/vdpid/5599</v>
  </rv>
  <rv s="0">
    <v>536870912</v>
    <v>New York</v>
    <v>caeb7b9a-f5d7-4686-8fb5-cf7628296b13</v>
    <v>en-US</v>
    <v>Map</v>
  </rv>
  <rv s="1">
    <fb>141300</fb>
    <v>11</v>
  </rv>
  <rv s="1">
    <fb>33711</fb>
    <v>11</v>
  </rv>
  <rv s="0">
    <v>536870912</v>
    <v>Albany</v>
    <v>62ca8245-972e-448d-af38-345d4a958798</v>
    <v>en-US</v>
    <v>Map</v>
  </rv>
  <rv s="0">
    <v>536870912</v>
    <v>United States of America</v>
    <v>5232ed96-85b1-2edb-12c6-63e6c597a1de</v>
    <v>en-US</v>
    <v>Map</v>
  </rv>
  <rv s="1">
    <fb>7262279</fb>
    <v>11</v>
  </rv>
  <rv s="1">
    <fb>8231687</fb>
    <v>11</v>
  </rv>
  <rv s="2">
    <v>3</v>
    <v>9</v>
    <v>25</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6</v>
  </rv>
  <rv s="4">
    <v>https://www.bing.com/search?q=new+york+state&amp;form=skydnc</v>
    <v>Learn more on Bing</v>
  </rv>
  <rv s="1">
    <fb>1132</fb>
    <v>12</v>
  </rv>
  <rv s="1">
    <fb>59269</fb>
    <v>12</v>
  </rv>
  <rv s="1">
    <fb>283400</fb>
    <v>12</v>
  </rv>
  <rv s="1">
    <fb>20201249</fb>
    <v>11</v>
  </rv>
  <rv s="1">
    <fb>0.15</fb>
    <v>14</v>
  </rv>
  <rv s="1">
    <fb>8.8000000000000009E-2</fb>
    <v>14</v>
  </rv>
  <rv s="1">
    <fb>0.34200000000000003</fb>
    <v>14</v>
  </rv>
  <rv s="1">
    <fb>0.17600000000000002</fb>
    <v>14</v>
  </rv>
  <rv s="1">
    <fb>0.22500000000000001</fb>
    <v>14</v>
  </rv>
  <rv s="1">
    <fb>0.85599999999999998</fb>
    <v>14</v>
  </rv>
  <rv s="1">
    <fb>0.188</fb>
    <v>14</v>
  </rv>
  <rv s="1">
    <fb>0.63300000000000001</fb>
    <v>14</v>
  </rv>
  <rv s="1">
    <fb>7.400000000000001E-2</fb>
    <v>14</v>
  </rv>
  <rv s="1">
    <fb>2.4E-2</fb>
    <v>14</v>
  </rv>
  <rv s="1">
    <fb>0.21299999999999999</fb>
    <v>14</v>
  </rv>
  <rv s="1">
    <fb>0.06</fb>
    <v>14</v>
  </rv>
  <rv s="1">
    <fb>0.70099999999999996</fb>
    <v>14</v>
  </rv>
  <rv s="3">
    <v>7</v>
  </rv>
  <rv s="6">
    <v>#VALUE!</v>
    <v>en-US</v>
    <v>caeb7b9a-f5d7-4686-8fb5-cf7628296b13</v>
    <v>536870912</v>
    <v>1</v>
    <v>28</v>
    <v>20</v>
    <v>New York</v>
    <v>7</v>
    <v>8</v>
    <v>Map</v>
    <v>9</v>
    <v>29</v>
    <v>US-NY</v>
    <v>109</v>
    <v>110</v>
    <v>111</v>
    <v>112</v>
    <v>New York, sometimes called New York State, is a state in the Northeastern region of the United States. A Mid-Atlantic state, New York borders New England, and has an international border with Canada. With almost 19.6 million residents, it is the ...</v>
    <v>113</v>
    <v>114</v>
    <v>115</v>
    <v>116</v>
    <v>121</v>
    <v>122</v>
    <v>123</v>
    <v>124</v>
    <v>125</v>
    <v>New York</v>
    <v>19</v>
    <v>126</v>
    <v>33</v>
    <v>127</v>
    <v>60</v>
    <v>128</v>
    <v>129</v>
    <v>130</v>
    <v>131</v>
    <v>132</v>
    <v>133</v>
    <v>134</v>
    <v>31</v>
    <v>135</v>
    <v>136</v>
    <v>137</v>
    <v>138</v>
    <v>139</v>
    <v>140</v>
    <v>New York</v>
    <v>mdp/vdpid/23161</v>
  </rv>
  <rv s="0">
    <v>536870912</v>
    <v>Arizona</v>
    <v>bf973f46-5962-4997-a7ba-a05f1aa2a9f9</v>
    <v>en-US</v>
    <v>Map</v>
  </rv>
  <rv s="1">
    <fb>295234</fb>
    <v>11</v>
  </rv>
  <rv s="1">
    <fb>35578</fb>
    <v>11</v>
  </rv>
  <rv s="0">
    <v>536870912</v>
    <v>Phoenix, Arizona</v>
    <v>b06044c3-41e1-4e2a-bba7-27a29bba8ea9</v>
    <v>en-US</v>
    <v>Map</v>
  </rv>
  <rv s="1">
    <fb>2412212</fb>
    <v>11</v>
  </rv>
  <rv s="1">
    <fb>2961003</fb>
    <v>11</v>
  </rv>
  <rv s="2">
    <v>4</v>
    <v>9</v>
    <v>30</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8</v>
  </rv>
  <rv s="4">
    <v>https://www.bing.com/search?q=arizona&amp;form=skydnc</v>
    <v>Learn more on Bing</v>
  </rv>
  <rv s="1">
    <fb>913</fb>
    <v>12</v>
  </rv>
  <rv s="1">
    <fb>50255</fb>
    <v>12</v>
  </rv>
  <rv s="1">
    <fb>167500</fb>
    <v>12</v>
  </rv>
  <rv s="1">
    <fb>2.69</fb>
    <v>13</v>
  </rv>
  <rv s="1">
    <fb>7582384</fb>
    <v>11</v>
  </rv>
  <rv s="1">
    <fb>8.4000000000000005E-2</fb>
    <v>14</v>
  </rv>
  <rv s="1">
    <fb>0.16399999999999998</fb>
    <v>14</v>
  </rv>
  <rv s="1">
    <fb>5.2999999999999999E-2</fb>
    <v>15</v>
  </rv>
  <rv s="1">
    <fb>3.4000000000000002E-2</fb>
    <v>14</v>
  </rv>
  <rv s="1">
    <fb>0.27500000000000002</fb>
    <v>14</v>
  </rv>
  <rv s="1">
    <fb>4.8000000000000001E-2</fb>
    <v>14</v>
  </rv>
  <rv s="1">
    <fb>0.13500000000000001</fb>
    <v>14</v>
  </rv>
  <rv s="1">
    <fb>0.86</fb>
    <v>14</v>
  </rv>
  <rv s="1">
    <fb>0.307</fb>
    <v>14</v>
  </rv>
  <rv s="1">
    <fb>0.59299999999999997</fb>
    <v>14</v>
  </rv>
  <rv s="1">
    <fb>3.0000000000000001E-3</fb>
    <v>14</v>
  </rv>
  <rv s="1">
    <fb>8.199999999999999E-2</fb>
    <v>14</v>
  </rv>
  <rv s="1">
    <fb>2.7000000000000003E-2</fb>
    <v>14</v>
  </rv>
  <rv s="1">
    <fb>0.23800000000000002</fb>
    <v>14</v>
  </rv>
  <rv s="1">
    <fb>6.3E-2</fb>
    <v>14</v>
  </rv>
  <rv s="1">
    <fb>0.83499999999999996</fb>
    <v>14</v>
  </rv>
  <rv s="3">
    <v>9</v>
  </rv>
  <rv s="5">
    <v>#VALUE!</v>
    <v>en-US</v>
    <v>bf973f46-5962-4997-a7ba-a05f1aa2a9f9</v>
    <v>536870912</v>
    <v>1</v>
    <v>33</v>
    <v>5</v>
    <v>Arizona</v>
    <v>7</v>
    <v>8</v>
    <v>Map</v>
    <v>9</v>
    <v>10</v>
    <v>US-AZ</v>
    <v>143</v>
    <v>144</v>
    <v>145</v>
    <v>4</v>
    <v>Arizona is a state in the Southwestern region of the United States, sharing the Four Corners region of the western United States with Colorado, New Mexico, and Utah. It also borders Nevada to the northwest and California to the west, and shares ...</v>
    <v>146</v>
    <v>147</v>
    <v>148</v>
    <v>145</v>
    <v>153</v>
    <v>154</v>
    <v>155</v>
    <v>156</v>
    <v>157</v>
    <v>Arizona</v>
    <v>18</v>
    <v>158</v>
    <v>159</v>
    <v>160</v>
    <v>161</v>
    <v>162</v>
    <v>163</v>
    <v>164</v>
    <v>165</v>
    <v>166</v>
    <v>167</v>
    <v>168</v>
    <v>169</v>
    <v>170</v>
    <v>171</v>
    <v>172</v>
    <v>173</v>
    <v>174</v>
    <v>175</v>
    <v>176</v>
    <v>Arizona</v>
    <v>mdp/vdpid/1945</v>
  </rv>
  <rv s="0">
    <v>536870912</v>
    <v>Maricopa County</v>
    <v>385e4056-0008-58a2-b460-55f838262318</v>
    <v>en-US</v>
    <v>Map</v>
  </rv>
  <rv s="1">
    <fb>1341.477468</fb>
    <v>11</v>
  </rv>
  <rv s="2">
    <v>5</v>
    <v>9</v>
    <v>34</v>
    <v>7</v>
    <v>0</v>
    <v>Image of Phoenix, Arizona</v>
  </rv>
  <rv s="1">
    <fb>33.448333333333302</fb>
    <v>38</v>
  </rv>
  <rv s="0">
    <v>805306368</v>
    <v>Kate Gallego (Mayor)</v>
    <v>e1eda65c-e97b-f7be-0eba-2d9b94ca006c</v>
    <v>en-US</v>
    <v>Generic</v>
  </rv>
  <rv s="3">
    <v>10</v>
  </rv>
  <rv s="4">
    <v>https://www.bing.com/search?q=phoenix+arizona&amp;form=skydnc</v>
    <v>Learn more on Bing</v>
  </rv>
  <rv s="1">
    <fb>-112.073888888889</fb>
    <v>38</v>
  </rv>
  <rv s="1">
    <fb>1608139</fb>
    <v>11</v>
  </rv>
  <rv s="7">
    <v>#VALUE!</v>
    <v>en-US</v>
    <v>b06044c3-41e1-4e2a-bba7-27a29bba8ea9</v>
    <v>536870912</v>
    <v>1</v>
    <v>35</v>
    <v>36</v>
    <v>Phoenix, Arizona</v>
    <v>7</v>
    <v>8</v>
    <v>Map</v>
    <v>9</v>
    <v>37</v>
    <v>142</v>
    <v>178</v>
    <v>179</v>
    <v>112</v>
    <v>Phoenix is the capital and most populous city of the U.S. state of Arizona, with 1,608,139 residents as of 2020. It is the fifth-most populous city in the United States and the most populous state capital in the country.</v>
    <v>180</v>
    <v>181</v>
    <v>183</v>
    <v>184</v>
    <v>185</v>
    <v>Phoenix, Arizona</v>
    <v>186</v>
    <v>176</v>
    <v>Phoenix, Arizona</v>
    <v>mdp/vdpid/5098089334867755012</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3">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spbArrays>
  <spbData count="39">
    <spb s="0">
      <v xml:space="preserve">Wikipedia	</v>
      <v xml:space="preserve">CC BY-SA 3.0	</v>
      <v xml:space="preserve">https://en.wikipedia.org/wiki/Illinois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16</v>
      <v>16</v>
      <v>1</v>
      <v>16</v>
      <v>16</v>
      <v>16</v>
      <v>17</v>
      <v>16</v>
      <v>1</v>
      <v>16</v>
      <v>1</v>
      <v>18</v>
      <v>16</v>
      <v>1</v>
      <v>1</v>
      <v>1</v>
      <v>1</v>
      <v>18</v>
      <v>1</v>
      <v>1</v>
      <v>1</v>
      <v>1</v>
      <v>1</v>
      <v>1</v>
      <v>1</v>
      <v>1</v>
      <v>1</v>
      <v>18</v>
      <v>1</v>
      <v>1</v>
      <v>1</v>
      <v>1</v>
    </spb>
    <spb s="2">
      <v>1</v>
      <v>Name</v>
      <v>LearnMoreOnLink</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21</v>
      <v>21</v>
      <v>1</v>
      <v>21</v>
      <v>21</v>
      <v>21</v>
      <v>22</v>
      <v>21</v>
      <v>1</v>
      <v>21</v>
      <v>1</v>
      <v>23</v>
      <v>21</v>
      <v>1</v>
      <v>1</v>
      <v>1</v>
      <v>1</v>
      <v>23</v>
      <v>1</v>
      <v>1</v>
      <v>1</v>
      <v>1</v>
      <v>1</v>
      <v>1</v>
      <v>1</v>
      <v>1</v>
      <v>1</v>
      <v>23</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25</v>
      <v>25</v>
      <v>1</v>
      <v>25</v>
      <v>25</v>
      <v>25</v>
      <v>26</v>
      <v>25</v>
      <v>1</v>
      <v>25</v>
      <v>1</v>
      <v>27</v>
      <v>25</v>
      <v>1</v>
      <v>1</v>
      <v>1</v>
      <v>1</v>
      <v>27</v>
      <v>1</v>
      <v>1</v>
      <v>1</v>
      <v>1</v>
      <v>1</v>
      <v>1</v>
      <v>1</v>
      <v>1</v>
      <v>1</v>
      <v>27</v>
      <v>1</v>
      <v>1</v>
      <v>1</v>
      <v>1</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30</v>
      <v>30</v>
      <v>1</v>
      <v>30</v>
      <v>30</v>
      <v>30</v>
      <v>31</v>
      <v>30</v>
      <v>1</v>
      <v>30</v>
      <v>1</v>
      <v>32</v>
      <v>30</v>
      <v>1</v>
      <v>1</v>
      <v>1</v>
      <v>1</v>
      <v>32</v>
      <v>1</v>
      <v>1</v>
      <v>1</v>
      <v>1</v>
      <v>1</v>
      <v>1</v>
      <v>1</v>
      <v>1</v>
      <v>1</v>
      <v>32</v>
      <v>1</v>
      <v>1</v>
      <v>1</v>
      <v>1</v>
    </spb>
    <spb s="0">
      <v xml:space="preserve">Wikipedia	</v>
      <v xml:space="preserve">CC BY-SA 3.0	</v>
      <v xml:space="preserve">https://en.wikipedia.org/wiki/Phoenix,_Arizona	</v>
      <v xml:space="preserve">https://creativecommons.org/licenses/by-sa/3.0	</v>
    </spb>
    <spb s="9">
      <v>34</v>
      <v>34</v>
      <v>34</v>
      <v>34</v>
      <v>34</v>
      <v>34</v>
      <v>34</v>
      <v>34</v>
      <v>34</v>
      <v>34</v>
    </spb>
    <spb s="2">
      <v>2</v>
      <v>Name</v>
      <v>LearnMoreOnLink</v>
    </spb>
    <spb s="10">
      <v>square km</v>
      <v>2020</v>
    </spb>
    <spb s="8">
      <v>8</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Latitude" t="spb"/>
    <k n="Longitude" t="spb"/>
    <k n="Population" t="spb"/>
    <k n="UniqueName" t="spb"/>
    <k n="Description" t="spb"/>
    <k n="Country/region" t="spb"/>
    <k n="Admin Division 1 (State/province/other)" t="spb"/>
    <k n="Admin Division 2 (County/district/other)" t="spb"/>
  </s>
  <s>
    <k n="Area" t="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Sty dxfid="3">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92A1DC-3CC5-4B57-AD35-2A3B89C4E273}" sourceName="[Rates].[Year]">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olap pivotCacheId="1279843528">
      <levels count="2">
        <level uniqueName="[Rates].[Year].[(All)]" sourceCaption="(All)" count="0"/>
        <level uniqueName="[Rates].[Year].[Year]" sourceCaption="Year" count="5">
          <ranges>
            <range startItem="0">
              <i n="[Rates].[Year].&amp;[2016]" c="2016"/>
              <i n="[Rates].[Year].&amp;[2017]" c="2017"/>
              <i n="[Rates].[Year].&amp;[2018]" c="2018"/>
              <i n="[Rates].[Year].&amp;[2019]" c="2019"/>
              <i n="[Rates].[Year].&amp;[2020]" c="2020"/>
            </range>
          </ranges>
        </level>
      </levels>
      <selections count="1">
        <selection n="[Rates].[Year].[All]"/>
      </selections>
    </olap>
  </data>
  <extLst>
    <x:ext xmlns:x15="http://schemas.microsoft.com/office/spreadsheetml/2010/11/main" uri="{470722E0-AACD-4C17-9CDC-17EF765DBC7E}">
      <x15:slicerCacheHideItemsWithNoData count="1">
        <x15:slicerCacheOlapLevelName uniqueName="[Rates].[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FD06A2A-D9AE-4A68-BA7A-9BD7A579F47A}" cache="Slicer_Year" caption="Year" columnCount="2" showCaption="0" level="1" style="Slicer Style 1" rowHeight="257588"/>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2339-3F31-413D-A359-632C8931FB43}">
  <dimension ref="A1:AB70"/>
  <sheetViews>
    <sheetView topLeftCell="P1" zoomScaleNormal="100" workbookViewId="0">
      <selection activeCell="AA6" sqref="AA6"/>
    </sheetView>
  </sheetViews>
  <sheetFormatPr defaultRowHeight="15.05" x14ac:dyDescent="0.3"/>
  <cols>
    <col min="1" max="1" width="12.33203125" bestFit="1" customWidth="1"/>
    <col min="2" max="2" width="11.109375" bestFit="1" customWidth="1"/>
    <col min="5" max="5" width="15.88671875" bestFit="1" customWidth="1"/>
    <col min="7" max="7" width="12.33203125" bestFit="1" customWidth="1"/>
    <col min="8" max="8" width="11.21875" bestFit="1" customWidth="1"/>
    <col min="10" max="10" width="12.33203125" bestFit="1" customWidth="1"/>
    <col min="11" max="11" width="9.21875" bestFit="1" customWidth="1"/>
    <col min="13" max="13" width="12.33203125" bestFit="1" customWidth="1"/>
    <col min="14" max="14" width="11.109375" bestFit="1" customWidth="1"/>
    <col min="16" max="16" width="12.33203125" bestFit="1" customWidth="1"/>
    <col min="17" max="17" width="10.109375" bestFit="1" customWidth="1"/>
    <col min="20" max="20" width="11.109375" bestFit="1" customWidth="1"/>
    <col min="21" max="21" width="11.21875" bestFit="1" customWidth="1"/>
    <col min="22" max="22" width="17.88671875" bestFit="1" customWidth="1"/>
    <col min="23" max="23" width="10.33203125" bestFit="1" customWidth="1"/>
    <col min="24" max="24" width="11" bestFit="1" customWidth="1"/>
    <col min="25" max="25" width="10.33203125" bestFit="1" customWidth="1"/>
    <col min="26" max="26" width="6.33203125" bestFit="1" customWidth="1"/>
    <col min="27" max="27" width="11.109375" bestFit="1" customWidth="1"/>
    <col min="28" max="28" width="8" bestFit="1" customWidth="1"/>
  </cols>
  <sheetData>
    <row r="1" spans="1:28" x14ac:dyDescent="0.3">
      <c r="A1" s="2" t="s">
        <v>1</v>
      </c>
      <c r="B1" t="s">
        <v>0</v>
      </c>
      <c r="D1" t="s">
        <v>10</v>
      </c>
      <c r="E1" t="s">
        <v>9</v>
      </c>
      <c r="G1" s="2" t="s">
        <v>1</v>
      </c>
      <c r="H1" t="s">
        <v>28</v>
      </c>
      <c r="J1" s="2" t="s">
        <v>1</v>
      </c>
      <c r="K1" t="s">
        <v>0</v>
      </c>
      <c r="M1" s="2" t="s">
        <v>1</v>
      </c>
      <c r="N1" t="s">
        <v>0</v>
      </c>
      <c r="P1" s="2" t="s">
        <v>1</v>
      </c>
      <c r="Q1" t="s">
        <v>0</v>
      </c>
      <c r="T1" t="s">
        <v>0</v>
      </c>
      <c r="U1" t="s">
        <v>28</v>
      </c>
      <c r="V1" t="s">
        <v>33</v>
      </c>
      <c r="W1" s="2" t="s">
        <v>32</v>
      </c>
      <c r="X1" t="s" vm="1">
        <v>29</v>
      </c>
      <c r="Y1" s="2" t="s">
        <v>32</v>
      </c>
      <c r="Z1" t="s" vm="2">
        <v>30</v>
      </c>
      <c r="AA1" s="2" t="s">
        <v>32</v>
      </c>
      <c r="AB1" t="s" vm="3">
        <v>31</v>
      </c>
    </row>
    <row r="2" spans="1:28" x14ac:dyDescent="0.3">
      <c r="A2" s="3" t="s">
        <v>4</v>
      </c>
      <c r="B2" s="4">
        <v>4307315.5553499991</v>
      </c>
      <c r="D2" t="e" vm="4">
        <v>#VALUE!</v>
      </c>
      <c r="E2" s="5">
        <f>GETPIVOTDATA("[Measures].[Total Cost]",$A$1,"[Building Master].[City]","[Building Master].[City].&amp;[Chicago]")</f>
        <v>4307315.5553499991</v>
      </c>
      <c r="G2" s="3" t="s">
        <v>11</v>
      </c>
      <c r="H2" s="9"/>
      <c r="J2" s="3" t="s">
        <v>11</v>
      </c>
      <c r="K2" s="8"/>
      <c r="M2" s="3" t="s">
        <v>29</v>
      </c>
      <c r="N2" s="4">
        <v>2025296.0222400012</v>
      </c>
      <c r="P2" s="3" t="s">
        <v>34</v>
      </c>
      <c r="Q2" s="4">
        <v>1496830.0949699997</v>
      </c>
      <c r="T2" s="4">
        <v>15842498.963239972</v>
      </c>
      <c r="U2" s="1">
        <v>5778.3550000000014</v>
      </c>
      <c r="V2" s="9">
        <v>11</v>
      </c>
    </row>
    <row r="3" spans="1:28" x14ac:dyDescent="0.3">
      <c r="A3" s="3" t="s">
        <v>5</v>
      </c>
      <c r="B3" s="4">
        <v>1440927.7445900002</v>
      </c>
      <c r="D3" t="e" vm="5">
        <v>#VALUE!</v>
      </c>
      <c r="E3" s="5">
        <f>GETPIVOTDATA("[Measures].[Total Cost]",$A$1,"[Building Master].[City]","[Building Master].[City].&amp;[Houston]")</f>
        <v>1440927.7445900002</v>
      </c>
      <c r="G3" s="6" t="s">
        <v>12</v>
      </c>
      <c r="H3" s="9"/>
      <c r="J3" s="6" t="s">
        <v>12</v>
      </c>
      <c r="K3" s="8"/>
      <c r="M3" s="3" t="s">
        <v>30</v>
      </c>
      <c r="N3" s="4">
        <v>3011010.8740000008</v>
      </c>
      <c r="P3" s="3" t="s">
        <v>2</v>
      </c>
      <c r="Q3" s="4">
        <v>1479068.1107600005</v>
      </c>
      <c r="W3" t="s">
        <v>0</v>
      </c>
      <c r="Y3" t="s">
        <v>0</v>
      </c>
      <c r="AA3" t="s">
        <v>0</v>
      </c>
    </row>
    <row r="4" spans="1:28" x14ac:dyDescent="0.3">
      <c r="A4" s="3" t="s">
        <v>6</v>
      </c>
      <c r="B4" s="4">
        <v>4280143.1284800014</v>
      </c>
      <c r="D4" t="e" vm="6">
        <v>#VALUE!</v>
      </c>
      <c r="E4" s="5">
        <f>GETPIVOTDATA("[Measures].[Total Cost]",$A$1,"[Building Master].[City]","[Building Master].[City].&amp;[Los Angeles]")</f>
        <v>4280143.1284800014</v>
      </c>
      <c r="G4" s="7" t="s">
        <v>13</v>
      </c>
      <c r="H4" s="1">
        <v>3378</v>
      </c>
      <c r="J4" s="7" t="s">
        <v>13</v>
      </c>
      <c r="K4" s="8"/>
      <c r="M4" s="3" t="s">
        <v>31</v>
      </c>
      <c r="N4" s="4">
        <v>10806192.066999994</v>
      </c>
      <c r="P4" s="3" t="s">
        <v>35</v>
      </c>
      <c r="Q4" s="4">
        <v>1477667.4815200011</v>
      </c>
      <c r="W4" s="4">
        <v>2025296.0222400012</v>
      </c>
      <c r="Y4" s="4">
        <v>3011010.8740000008</v>
      </c>
      <c r="AA4" s="4">
        <v>10806192.066999994</v>
      </c>
    </row>
    <row r="5" spans="1:28" x14ac:dyDescent="0.3">
      <c r="A5" s="3" t="s">
        <v>7</v>
      </c>
      <c r="B5" s="4">
        <v>4335044.424060002</v>
      </c>
      <c r="D5" t="e" vm="7">
        <v>#VALUE!</v>
      </c>
      <c r="E5" s="5">
        <f>GETPIVOTDATA("[Measures].[Total Cost]",$A$1,"[Building Master].[City]","[Building Master].[City].&amp;[New York]")</f>
        <v>4335044.424060002</v>
      </c>
      <c r="G5" s="7" t="s">
        <v>14</v>
      </c>
      <c r="H5" s="1">
        <v>3977.52</v>
      </c>
      <c r="J5" s="7" t="s">
        <v>14</v>
      </c>
      <c r="K5" s="8">
        <v>1.8144021198072725E-2</v>
      </c>
      <c r="M5" s="3" t="s">
        <v>3</v>
      </c>
      <c r="N5" s="4">
        <v>15842498.963239972</v>
      </c>
      <c r="P5" s="3" t="s">
        <v>36</v>
      </c>
      <c r="Q5" s="4">
        <v>1468356.7158700004</v>
      </c>
      <c r="T5" t="str">
        <f>"Total Cost
"&amp;TEXT(GETPIVOTDATA("[Measures].[Total Cost]",$T$1),"$##,00")</f>
        <v>Total Cost
$15,842,499</v>
      </c>
      <c r="U5" t="str">
        <f>"Median Cost
"&amp;TEXT(GETPIVOTDATA("[Measures].[Median Cost]",$T$1),"$##,00")</f>
        <v>Median Cost
$5,778</v>
      </c>
      <c r="V5" t="str">
        <f>"Number of Buildings
"
&amp;GETPIVOTDATA("[Measures].[Number of Buildings]",$T$1)</f>
        <v>Number of Buildings
11</v>
      </c>
      <c r="W5" t="str">
        <f>"Electricity Cost
"&amp;TEXT(GETPIVOTDATA("[Measures].[Total Cost]",$W$3),"$##,00")</f>
        <v>Electricity Cost
$2,025,296</v>
      </c>
      <c r="Y5" t="str">
        <f>"Gas Cost
"&amp;TEXT(GETPIVOTDATA("[Measures].[Total Cost]",$Y$3),"$##,00")</f>
        <v>Gas Cost
$3,011,011</v>
      </c>
      <c r="AA5" t="str">
        <f>"Water Cost
"&amp;TEXT(GETPIVOTDATA("[Measures].[Total Cost]",$AA$3),"$##,00")</f>
        <v>Water Cost
$10,806,192</v>
      </c>
    </row>
    <row r="6" spans="1:28" x14ac:dyDescent="0.3">
      <c r="A6" s="3" t="s">
        <v>8</v>
      </c>
      <c r="B6" s="4">
        <v>1479068.1107600005</v>
      </c>
      <c r="D6" t="e" vm="8">
        <v>#VALUE!</v>
      </c>
      <c r="E6" s="5">
        <f>GETPIVOTDATA("[Measures].[Total Cost]",$A$1,"[Building Master].[City]","[Building Master].[City].&amp;[Phoenix]")</f>
        <v>1479068.1107600005</v>
      </c>
      <c r="G6" s="7" t="s">
        <v>15</v>
      </c>
      <c r="H6" s="1">
        <v>3773</v>
      </c>
      <c r="J6" s="7" t="s">
        <v>15</v>
      </c>
      <c r="K6" s="8">
        <v>2.4703059468592324E-2</v>
      </c>
      <c r="P6" s="3" t="s">
        <v>37</v>
      </c>
      <c r="Q6" s="4">
        <v>1461989.7927200007</v>
      </c>
    </row>
    <row r="7" spans="1:28" x14ac:dyDescent="0.3">
      <c r="A7" s="3" t="s">
        <v>3</v>
      </c>
      <c r="B7" s="4">
        <v>15842498.963239972</v>
      </c>
      <c r="G7" s="6" t="s">
        <v>16</v>
      </c>
      <c r="H7" s="9"/>
      <c r="J7" s="6" t="s">
        <v>16</v>
      </c>
      <c r="K7" s="8"/>
      <c r="P7" s="3" t="s">
        <v>3</v>
      </c>
      <c r="Q7" s="4">
        <v>7383912.195840003</v>
      </c>
    </row>
    <row r="8" spans="1:28" x14ac:dyDescent="0.3">
      <c r="G8" s="7" t="s">
        <v>17</v>
      </c>
      <c r="H8" s="1">
        <v>3807.76</v>
      </c>
      <c r="J8" s="7" t="s">
        <v>17</v>
      </c>
      <c r="K8" s="8"/>
    </row>
    <row r="9" spans="1:28" x14ac:dyDescent="0.3">
      <c r="G9" s="7" t="s">
        <v>18</v>
      </c>
      <c r="H9" s="1">
        <v>4374</v>
      </c>
      <c r="J9" s="7" t="s">
        <v>18</v>
      </c>
      <c r="K9" s="8">
        <v>0.13712007988726618</v>
      </c>
    </row>
    <row r="10" spans="1:28" x14ac:dyDescent="0.3">
      <c r="G10" s="7" t="s">
        <v>19</v>
      </c>
      <c r="H10" s="1">
        <v>3941.52</v>
      </c>
      <c r="J10" s="7" t="s">
        <v>19</v>
      </c>
      <c r="K10" s="8">
        <v>-5.6745546712106673E-2</v>
      </c>
    </row>
    <row r="11" spans="1:28" x14ac:dyDescent="0.3">
      <c r="G11" s="6" t="s">
        <v>20</v>
      </c>
      <c r="H11" s="9"/>
      <c r="J11" s="6" t="s">
        <v>20</v>
      </c>
      <c r="K11" s="8"/>
    </row>
    <row r="12" spans="1:28" x14ac:dyDescent="0.3">
      <c r="G12" s="7" t="s">
        <v>21</v>
      </c>
      <c r="H12" s="1">
        <v>4540</v>
      </c>
      <c r="J12" s="7" t="s">
        <v>21</v>
      </c>
      <c r="K12" s="8"/>
    </row>
    <row r="13" spans="1:28" x14ac:dyDescent="0.3">
      <c r="G13" s="7" t="s">
        <v>22</v>
      </c>
      <c r="H13" s="1">
        <v>3951.52</v>
      </c>
      <c r="J13" s="7" t="s">
        <v>22</v>
      </c>
      <c r="K13" s="8">
        <v>-3.4256405283296168E-2</v>
      </c>
    </row>
    <row r="14" spans="1:28" x14ac:dyDescent="0.3">
      <c r="G14" s="7" t="s">
        <v>23</v>
      </c>
      <c r="H14" s="1">
        <v>4312</v>
      </c>
      <c r="J14" s="7" t="s">
        <v>23</v>
      </c>
      <c r="K14" s="8">
        <v>1.5410083394839475E-2</v>
      </c>
    </row>
    <row r="15" spans="1:28" x14ac:dyDescent="0.3">
      <c r="G15" s="6" t="s">
        <v>24</v>
      </c>
      <c r="H15" s="9"/>
      <c r="J15" s="6" t="s">
        <v>24</v>
      </c>
      <c r="K15" s="8"/>
    </row>
    <row r="16" spans="1:28" x14ac:dyDescent="0.3">
      <c r="G16" s="7" t="s">
        <v>25</v>
      </c>
      <c r="H16" s="1">
        <v>4083</v>
      </c>
      <c r="J16" s="7" t="s">
        <v>25</v>
      </c>
      <c r="K16" s="8"/>
    </row>
    <row r="17" spans="7:11" x14ac:dyDescent="0.3">
      <c r="G17" s="7" t="s">
        <v>26</v>
      </c>
      <c r="H17" s="1">
        <v>3992.88</v>
      </c>
      <c r="J17" s="7" t="s">
        <v>26</v>
      </c>
      <c r="K17" s="8">
        <v>-0.12554583925937959</v>
      </c>
    </row>
    <row r="18" spans="7:11" x14ac:dyDescent="0.3">
      <c r="G18" s="7" t="s">
        <v>27</v>
      </c>
      <c r="H18" s="1">
        <v>4541</v>
      </c>
      <c r="J18" s="7" t="s">
        <v>27</v>
      </c>
      <c r="K18" s="8">
        <v>0.12469438727008643</v>
      </c>
    </row>
    <row r="19" spans="7:11" x14ac:dyDescent="0.3">
      <c r="G19" s="3" t="s">
        <v>38</v>
      </c>
      <c r="H19" s="9"/>
      <c r="J19" s="3" t="s">
        <v>38</v>
      </c>
      <c r="K19" s="8"/>
    </row>
    <row r="20" spans="7:11" x14ac:dyDescent="0.3">
      <c r="G20" s="6" t="s">
        <v>12</v>
      </c>
      <c r="H20" s="9"/>
      <c r="J20" s="6" t="s">
        <v>12</v>
      </c>
      <c r="K20" s="8"/>
    </row>
    <row r="21" spans="7:11" x14ac:dyDescent="0.3">
      <c r="G21" s="7" t="s">
        <v>13</v>
      </c>
      <c r="H21" s="1">
        <v>4448.6640000000007</v>
      </c>
      <c r="J21" s="7" t="s">
        <v>13</v>
      </c>
      <c r="K21" s="8"/>
    </row>
    <row r="22" spans="7:11" x14ac:dyDescent="0.3">
      <c r="G22" s="7" t="s">
        <v>14</v>
      </c>
      <c r="H22" s="1">
        <v>5714.5000000000009</v>
      </c>
      <c r="J22" s="7" t="s">
        <v>14</v>
      </c>
      <c r="K22" s="8">
        <v>-5.8783199774078192E-2</v>
      </c>
    </row>
    <row r="23" spans="7:11" x14ac:dyDescent="0.3">
      <c r="G23" s="7" t="s">
        <v>15</v>
      </c>
      <c r="H23" s="1">
        <v>4422.0880000000006</v>
      </c>
      <c r="J23" s="7" t="s">
        <v>15</v>
      </c>
      <c r="K23" s="8">
        <v>-9.4842584125348406E-2</v>
      </c>
    </row>
    <row r="24" spans="7:11" x14ac:dyDescent="0.3">
      <c r="G24" s="6" t="s">
        <v>16</v>
      </c>
      <c r="H24" s="9"/>
      <c r="J24" s="6" t="s">
        <v>16</v>
      </c>
      <c r="K24" s="8"/>
    </row>
    <row r="25" spans="7:11" x14ac:dyDescent="0.3">
      <c r="G25" s="7" t="s">
        <v>17</v>
      </c>
      <c r="H25" s="1">
        <v>4649.5680000000002</v>
      </c>
      <c r="J25" s="7" t="s">
        <v>17</v>
      </c>
      <c r="K25" s="8"/>
    </row>
    <row r="26" spans="7:11" x14ac:dyDescent="0.3">
      <c r="G26" s="7" t="s">
        <v>18</v>
      </c>
      <c r="H26" s="1">
        <v>5321.8</v>
      </c>
      <c r="J26" s="7" t="s">
        <v>18</v>
      </c>
      <c r="K26" s="8">
        <v>-6.8941504773561993E-2</v>
      </c>
    </row>
    <row r="27" spans="7:11" x14ac:dyDescent="0.3">
      <c r="G27" s="7" t="s">
        <v>19</v>
      </c>
      <c r="H27" s="1">
        <v>5945.5000000000009</v>
      </c>
      <c r="J27" s="7" t="s">
        <v>19</v>
      </c>
      <c r="K27" s="8">
        <v>-5.9523675839725523E-2</v>
      </c>
    </row>
    <row r="28" spans="7:11" x14ac:dyDescent="0.3">
      <c r="G28" s="6" t="s">
        <v>20</v>
      </c>
      <c r="H28" s="9"/>
      <c r="J28" s="6" t="s">
        <v>20</v>
      </c>
      <c r="K28" s="8"/>
    </row>
    <row r="29" spans="7:11" x14ac:dyDescent="0.3">
      <c r="G29" s="7" t="s">
        <v>21</v>
      </c>
      <c r="H29" s="1">
        <v>5259.1</v>
      </c>
      <c r="J29" s="7" t="s">
        <v>21</v>
      </c>
      <c r="K29" s="8"/>
    </row>
    <row r="30" spans="7:11" x14ac:dyDescent="0.3">
      <c r="G30" s="7" t="s">
        <v>22</v>
      </c>
      <c r="H30" s="1">
        <v>4734.2240000000002</v>
      </c>
      <c r="J30" s="7" t="s">
        <v>22</v>
      </c>
      <c r="K30" s="8">
        <v>-3.9482562302397002E-2</v>
      </c>
    </row>
    <row r="31" spans="7:11" x14ac:dyDescent="0.3">
      <c r="G31" s="7" t="s">
        <v>23</v>
      </c>
      <c r="H31" s="1">
        <v>5032.5</v>
      </c>
      <c r="J31" s="7" t="s">
        <v>23</v>
      </c>
      <c r="K31" s="8">
        <v>7.0019657655175441E-2</v>
      </c>
    </row>
    <row r="32" spans="7:11" x14ac:dyDescent="0.3">
      <c r="G32" s="6" t="s">
        <v>24</v>
      </c>
      <c r="H32" s="9"/>
      <c r="J32" s="6" t="s">
        <v>24</v>
      </c>
      <c r="K32" s="8"/>
    </row>
    <row r="33" spans="7:11" x14ac:dyDescent="0.3">
      <c r="G33" s="7" t="s">
        <v>25</v>
      </c>
      <c r="H33" s="1">
        <v>5648.5000000000009</v>
      </c>
      <c r="J33" s="7" t="s">
        <v>25</v>
      </c>
      <c r="K33" s="8"/>
    </row>
    <row r="34" spans="7:11" x14ac:dyDescent="0.3">
      <c r="G34" s="7" t="s">
        <v>26</v>
      </c>
      <c r="H34" s="1">
        <v>5333.9000000000005</v>
      </c>
      <c r="J34" s="7" t="s">
        <v>26</v>
      </c>
      <c r="K34" s="8">
        <v>4.9274012287314248E-2</v>
      </c>
    </row>
    <row r="35" spans="7:11" x14ac:dyDescent="0.3">
      <c r="G35" s="7" t="s">
        <v>27</v>
      </c>
      <c r="H35" s="1">
        <v>4768.5</v>
      </c>
      <c r="J35" s="7" t="s">
        <v>27</v>
      </c>
      <c r="K35" s="8">
        <v>-5.8145864558744466E-2</v>
      </c>
    </row>
    <row r="36" spans="7:11" x14ac:dyDescent="0.3">
      <c r="G36" s="3" t="s">
        <v>39</v>
      </c>
      <c r="H36" s="9"/>
      <c r="J36" s="3" t="s">
        <v>39</v>
      </c>
      <c r="K36" s="8"/>
    </row>
    <row r="37" spans="7:11" x14ac:dyDescent="0.3">
      <c r="G37" s="6" t="s">
        <v>12</v>
      </c>
      <c r="H37" s="9"/>
      <c r="J37" s="6" t="s">
        <v>12</v>
      </c>
      <c r="K37" s="8"/>
    </row>
    <row r="38" spans="7:11" x14ac:dyDescent="0.3">
      <c r="G38" s="7" t="s">
        <v>13</v>
      </c>
      <c r="H38" s="1">
        <v>6046.3700000000008</v>
      </c>
      <c r="J38" s="7" t="s">
        <v>13</v>
      </c>
      <c r="K38" s="8"/>
    </row>
    <row r="39" spans="7:11" x14ac:dyDescent="0.3">
      <c r="G39" s="7" t="s">
        <v>14</v>
      </c>
      <c r="H39" s="1">
        <v>5811.630000000001</v>
      </c>
      <c r="J39" s="7" t="s">
        <v>14</v>
      </c>
      <c r="K39" s="8">
        <v>0.12275860938076778</v>
      </c>
    </row>
    <row r="40" spans="7:11" x14ac:dyDescent="0.3">
      <c r="G40" s="7" t="s">
        <v>15</v>
      </c>
      <c r="H40" s="1">
        <v>6469.8700000000008</v>
      </c>
      <c r="J40" s="7" t="s">
        <v>15</v>
      </c>
      <c r="K40" s="8">
        <v>-0.10220463074946368</v>
      </c>
    </row>
    <row r="41" spans="7:11" x14ac:dyDescent="0.3">
      <c r="G41" s="6" t="s">
        <v>16</v>
      </c>
      <c r="H41" s="9"/>
      <c r="J41" s="6" t="s">
        <v>16</v>
      </c>
      <c r="K41" s="8"/>
    </row>
    <row r="42" spans="7:11" x14ac:dyDescent="0.3">
      <c r="G42" s="7" t="s">
        <v>17</v>
      </c>
      <c r="H42" s="1">
        <v>6861.9100000000008</v>
      </c>
      <c r="J42" s="7" t="s">
        <v>17</v>
      </c>
      <c r="K42" s="8"/>
    </row>
    <row r="43" spans="7:11" x14ac:dyDescent="0.3">
      <c r="G43" s="7" t="s">
        <v>18</v>
      </c>
      <c r="H43" s="1">
        <v>6138.3300000000008</v>
      </c>
      <c r="J43" s="7" t="s">
        <v>18</v>
      </c>
      <c r="K43" s="8">
        <v>-0.12626024344229173</v>
      </c>
    </row>
    <row r="44" spans="7:11" x14ac:dyDescent="0.3">
      <c r="G44" s="7" t="s">
        <v>19</v>
      </c>
      <c r="H44" s="1">
        <v>5890.2800000000007</v>
      </c>
      <c r="J44" s="7" t="s">
        <v>19</v>
      </c>
      <c r="K44" s="8">
        <v>3.7573274030354709E-2</v>
      </c>
    </row>
    <row r="45" spans="7:11" x14ac:dyDescent="0.3">
      <c r="G45" s="6" t="s">
        <v>20</v>
      </c>
      <c r="H45" s="9"/>
      <c r="J45" s="6" t="s">
        <v>20</v>
      </c>
      <c r="K45" s="8"/>
    </row>
    <row r="46" spans="7:11" x14ac:dyDescent="0.3">
      <c r="G46" s="7" t="s">
        <v>21</v>
      </c>
      <c r="H46" s="1">
        <v>6870.380000000001</v>
      </c>
      <c r="J46" s="7" t="s">
        <v>21</v>
      </c>
      <c r="K46" s="8"/>
    </row>
    <row r="47" spans="7:11" x14ac:dyDescent="0.3">
      <c r="G47" s="7" t="s">
        <v>22</v>
      </c>
      <c r="H47" s="1">
        <v>6128.6500000000005</v>
      </c>
      <c r="J47" s="7" t="s">
        <v>22</v>
      </c>
      <c r="K47" s="8">
        <v>-2.9210086857172034E-2</v>
      </c>
    </row>
    <row r="48" spans="7:11" x14ac:dyDescent="0.3">
      <c r="G48" s="7" t="s">
        <v>23</v>
      </c>
      <c r="H48" s="1">
        <v>6837.7100000000009</v>
      </c>
      <c r="J48" s="7" t="s">
        <v>23</v>
      </c>
      <c r="K48" s="8">
        <v>-8.4162729705693579E-2</v>
      </c>
    </row>
    <row r="49" spans="7:11" x14ac:dyDescent="0.3">
      <c r="G49" s="6" t="s">
        <v>24</v>
      </c>
      <c r="H49" s="9"/>
      <c r="J49" s="6" t="s">
        <v>24</v>
      </c>
      <c r="K49" s="8"/>
    </row>
    <row r="50" spans="7:11" x14ac:dyDescent="0.3">
      <c r="G50" s="7" t="s">
        <v>25</v>
      </c>
      <c r="H50" s="1">
        <v>6521.9000000000015</v>
      </c>
      <c r="J50" s="7" t="s">
        <v>25</v>
      </c>
      <c r="K50" s="8"/>
    </row>
    <row r="51" spans="7:11" x14ac:dyDescent="0.3">
      <c r="G51" s="7" t="s">
        <v>26</v>
      </c>
      <c r="H51" s="1">
        <v>5904.8000000000011</v>
      </c>
      <c r="J51" s="7" t="s">
        <v>26</v>
      </c>
      <c r="K51" s="8">
        <v>3.0924356895048678E-3</v>
      </c>
    </row>
    <row r="52" spans="7:11" x14ac:dyDescent="0.3">
      <c r="G52" s="7" t="s">
        <v>27</v>
      </c>
      <c r="H52" s="1">
        <v>6260.5400000000009</v>
      </c>
      <c r="J52" s="7" t="s">
        <v>27</v>
      </c>
      <c r="K52" s="8">
        <v>-7.268295584995501E-3</v>
      </c>
    </row>
    <row r="53" spans="7:11" x14ac:dyDescent="0.3">
      <c r="G53" s="3" t="s">
        <v>40</v>
      </c>
      <c r="H53" s="9"/>
      <c r="J53" s="3" t="s">
        <v>40</v>
      </c>
      <c r="K53" s="8"/>
    </row>
    <row r="54" spans="7:11" x14ac:dyDescent="0.3">
      <c r="G54" s="6" t="s">
        <v>12</v>
      </c>
      <c r="H54" s="9"/>
      <c r="J54" s="6" t="s">
        <v>12</v>
      </c>
      <c r="K54" s="8"/>
    </row>
    <row r="55" spans="7:11" x14ac:dyDescent="0.3">
      <c r="G55" s="7" t="s">
        <v>13</v>
      </c>
      <c r="H55" s="1">
        <v>7256.6120000000019</v>
      </c>
      <c r="J55" s="7" t="s">
        <v>13</v>
      </c>
      <c r="K55" s="8"/>
    </row>
    <row r="56" spans="7:11" x14ac:dyDescent="0.3">
      <c r="G56" s="7" t="s">
        <v>14</v>
      </c>
      <c r="H56" s="1">
        <v>6953.1440000000021</v>
      </c>
      <c r="J56" s="7" t="s">
        <v>14</v>
      </c>
      <c r="K56" s="8">
        <v>-6.5848565786355831E-3</v>
      </c>
    </row>
    <row r="57" spans="7:11" x14ac:dyDescent="0.3">
      <c r="G57" s="7" t="s">
        <v>15</v>
      </c>
      <c r="H57" s="1">
        <v>7453.6000000000022</v>
      </c>
      <c r="J57" s="7" t="s">
        <v>15</v>
      </c>
      <c r="K57" s="8">
        <v>2.7285121416119593E-2</v>
      </c>
    </row>
    <row r="58" spans="7:11" x14ac:dyDescent="0.3">
      <c r="G58" s="6" t="s">
        <v>16</v>
      </c>
      <c r="H58" s="9"/>
      <c r="J58" s="6" t="s">
        <v>16</v>
      </c>
      <c r="K58" s="8"/>
    </row>
    <row r="59" spans="7:11" x14ac:dyDescent="0.3">
      <c r="G59" s="7" t="s">
        <v>17</v>
      </c>
      <c r="H59" s="1">
        <v>7182.0760000000018</v>
      </c>
      <c r="J59" s="7" t="s">
        <v>17</v>
      </c>
      <c r="K59" s="8"/>
    </row>
    <row r="60" spans="7:11" x14ac:dyDescent="0.3">
      <c r="G60" s="7" t="s">
        <v>18</v>
      </c>
      <c r="H60" s="1">
        <v>7493.5300000000025</v>
      </c>
      <c r="J60" s="7" t="s">
        <v>18</v>
      </c>
      <c r="K60" s="8">
        <v>-1.1833108184134501E-2</v>
      </c>
    </row>
    <row r="61" spans="7:11" x14ac:dyDescent="0.3">
      <c r="G61" s="7" t="s">
        <v>19</v>
      </c>
      <c r="H61" s="1">
        <v>8523.724000000002</v>
      </c>
      <c r="J61" s="7" t="s">
        <v>19</v>
      </c>
      <c r="K61" s="8">
        <v>5.7951059198603612E-2</v>
      </c>
    </row>
    <row r="62" spans="7:11" x14ac:dyDescent="0.3">
      <c r="G62" s="6" t="s">
        <v>20</v>
      </c>
      <c r="H62" s="9"/>
      <c r="J62" s="6" t="s">
        <v>20</v>
      </c>
      <c r="K62" s="8"/>
    </row>
    <row r="63" spans="7:11" x14ac:dyDescent="0.3">
      <c r="G63" s="7" t="s">
        <v>21</v>
      </c>
      <c r="H63" s="1">
        <v>8872.4460000000036</v>
      </c>
      <c r="J63" s="7" t="s">
        <v>21</v>
      </c>
      <c r="K63" s="8"/>
    </row>
    <row r="64" spans="7:11" x14ac:dyDescent="0.3">
      <c r="G64" s="7" t="s">
        <v>22</v>
      </c>
      <c r="H64" s="1">
        <v>7248.626000000002</v>
      </c>
      <c r="J64" s="7" t="s">
        <v>22</v>
      </c>
      <c r="K64" s="8">
        <v>-7.0990932530926407E-2</v>
      </c>
    </row>
    <row r="65" spans="7:11" x14ac:dyDescent="0.3">
      <c r="G65" s="7" t="s">
        <v>23</v>
      </c>
      <c r="H65" s="1">
        <v>8419.9060000000027</v>
      </c>
      <c r="J65" s="7" t="s">
        <v>23</v>
      </c>
      <c r="K65" s="8">
        <v>0.10181891944011671</v>
      </c>
    </row>
    <row r="66" spans="7:11" x14ac:dyDescent="0.3">
      <c r="G66" s="6" t="s">
        <v>24</v>
      </c>
      <c r="H66" s="9"/>
      <c r="J66" s="6" t="s">
        <v>24</v>
      </c>
      <c r="K66" s="8"/>
    </row>
    <row r="67" spans="7:11" x14ac:dyDescent="0.3">
      <c r="G67" s="7" t="s">
        <v>25</v>
      </c>
      <c r="H67" s="1">
        <v>8180.3260000000028</v>
      </c>
      <c r="J67" s="7" t="s">
        <v>25</v>
      </c>
      <c r="K67" s="8"/>
    </row>
    <row r="68" spans="7:11" x14ac:dyDescent="0.3">
      <c r="G68" s="7" t="s">
        <v>26</v>
      </c>
      <c r="H68" s="1">
        <v>7440.2900000000027</v>
      </c>
      <c r="J68" s="7" t="s">
        <v>26</v>
      </c>
      <c r="K68" s="8">
        <v>-4.2971312229021135E-3</v>
      </c>
    </row>
    <row r="69" spans="7:11" x14ac:dyDescent="0.3">
      <c r="G69" s="7" t="s">
        <v>27</v>
      </c>
      <c r="H69" s="1">
        <v>7225.9990000000025</v>
      </c>
      <c r="J69" s="7" t="s">
        <v>27</v>
      </c>
      <c r="K69" s="8">
        <v>-2.2752325649749161E-2</v>
      </c>
    </row>
    <row r="70" spans="7:11" x14ac:dyDescent="0.3">
      <c r="G70" s="3" t="s">
        <v>3</v>
      </c>
      <c r="H70" s="1">
        <v>5778.3550000000014</v>
      </c>
      <c r="J70" s="3" t="s">
        <v>3</v>
      </c>
      <c r="K70" s="8"/>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2F85-40A2-4CD4-B4E7-7ED709A1B02F}">
  <dimension ref="A1:A2"/>
  <sheetViews>
    <sheetView showGridLines="0" tabSelected="1" zoomScaleNormal="100" workbookViewId="0">
      <selection activeCell="K37" sqref="K37"/>
    </sheetView>
  </sheetViews>
  <sheetFormatPr defaultRowHeight="15.05" x14ac:dyDescent="0.3"/>
  <sheetData>
    <row r="1" customFormat="1" x14ac:dyDescent="0.3"/>
    <row r="2"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8C24B5C-A4F5-4930-B80C-92C1E084FE0D}">
  <ds:schemaRefs/>
</ds:datastoreItem>
</file>

<file path=customXml/itemProps2.xml><?xml version="1.0" encoding="utf-8"?>
<ds:datastoreItem xmlns:ds="http://schemas.openxmlformats.org/officeDocument/2006/customXml" ds:itemID="{E67B84C6-8EC4-494C-85B8-9D4311D47D09}">
  <ds:schemaRefs/>
</ds:datastoreItem>
</file>

<file path=customXml/itemProps3.xml><?xml version="1.0" encoding="utf-8"?>
<ds:datastoreItem xmlns:ds="http://schemas.openxmlformats.org/officeDocument/2006/customXml" ds:itemID="{B8AC9970-2B39-49AB-A9EB-BA55CF917201}">
  <ds:schemaRefs/>
</ds:datastoreItem>
</file>

<file path=customXml/itemProps4.xml><?xml version="1.0" encoding="utf-8"?>
<ds:datastoreItem xmlns:ds="http://schemas.openxmlformats.org/officeDocument/2006/customXml" ds:itemID="{AA60C909-72E8-4FD2-A868-5B3095FC975E}">
  <ds:schemaRefs/>
</ds:datastoreItem>
</file>

<file path=customXml/itemProps5.xml><?xml version="1.0" encoding="utf-8"?>
<ds:datastoreItem xmlns:ds="http://schemas.openxmlformats.org/officeDocument/2006/customXml" ds:itemID="{CA467FD2-5E88-4B07-BC5E-E3E5F971DC11}">
  <ds:schemaRefs/>
</ds:datastoreItem>
</file>

<file path=customXml/itemProps6.xml><?xml version="1.0" encoding="utf-8"?>
<ds:datastoreItem xmlns:ds="http://schemas.openxmlformats.org/officeDocument/2006/customXml" ds:itemID="{0A2EC9AE-6EDF-4E0C-BF29-D3392BE9B09C}">
  <ds:schemaRefs/>
</ds:datastoreItem>
</file>

<file path=customXml/itemProps7.xml><?xml version="1.0" encoding="utf-8"?>
<ds:datastoreItem xmlns:ds="http://schemas.openxmlformats.org/officeDocument/2006/customXml" ds:itemID="{AE3F48BE-EF5C-46FC-8660-7A0AC92F6929}">
  <ds:schemaRefs/>
</ds:datastoreItem>
</file>

<file path=customXml/itemProps8.xml><?xml version="1.0" encoding="utf-8"?>
<ds:datastoreItem xmlns:ds="http://schemas.openxmlformats.org/officeDocument/2006/customXml" ds:itemID="{03B7E2F2-CA86-4BFC-8B0C-63634CDEF024}">
  <ds:schemaRefs/>
</ds:datastoreItem>
</file>

<file path=customXml/itemProps9.xml><?xml version="1.0" encoding="utf-8"?>
<ds:datastoreItem xmlns:ds="http://schemas.openxmlformats.org/officeDocument/2006/customXml" ds:itemID="{02C94ED3-2FF7-477C-B268-BBD07FEB5A9E}">
  <ds:schemaRefs/>
</ds:datastoreItem>
</file>

<file path=customXml/itemProps10.xml><?xml version="1.0" encoding="utf-8"?>
<ds:datastoreItem xmlns:ds="http://schemas.openxmlformats.org/officeDocument/2006/customXml" ds:itemID="{198EDB31-E1DB-465C-9934-B0C21E7ABC97}">
  <ds:schemaRefs/>
</ds:datastoreItem>
</file>

<file path=customXml/itemProps11.xml><?xml version="1.0" encoding="utf-8"?>
<ds:datastoreItem xmlns:ds="http://schemas.openxmlformats.org/officeDocument/2006/customXml" ds:itemID="{BA983886-E272-47EE-B49E-D24842BBEC81}">
  <ds:schemaRefs/>
</ds:datastoreItem>
</file>

<file path=customXml/itemProps12.xml><?xml version="1.0" encoding="utf-8"?>
<ds:datastoreItem xmlns:ds="http://schemas.openxmlformats.org/officeDocument/2006/customXml" ds:itemID="{2D5A52A6-239C-4715-9AAF-5CDE93EB1EDE}">
  <ds:schemaRefs/>
</ds:datastoreItem>
</file>

<file path=customXml/itemProps13.xml><?xml version="1.0" encoding="utf-8"?>
<ds:datastoreItem xmlns:ds="http://schemas.openxmlformats.org/officeDocument/2006/customXml" ds:itemID="{9736C6E8-137E-444D-9F23-5CD7DC7DD620}">
  <ds:schemaRefs/>
</ds:datastoreItem>
</file>

<file path=customXml/itemProps14.xml><?xml version="1.0" encoding="utf-8"?>
<ds:datastoreItem xmlns:ds="http://schemas.openxmlformats.org/officeDocument/2006/customXml" ds:itemID="{70767BD4-9DD3-4832-9560-3B7253B536F9}">
  <ds:schemaRefs/>
</ds:datastoreItem>
</file>

<file path=customXml/itemProps15.xml><?xml version="1.0" encoding="utf-8"?>
<ds:datastoreItem xmlns:ds="http://schemas.openxmlformats.org/officeDocument/2006/customXml" ds:itemID="{B4E4F873-6428-4408-B5C3-9F215A6E6B31}">
  <ds:schemaRefs/>
</ds:datastoreItem>
</file>

<file path=customXml/itemProps16.xml><?xml version="1.0" encoding="utf-8"?>
<ds:datastoreItem xmlns:ds="http://schemas.openxmlformats.org/officeDocument/2006/customXml" ds:itemID="{EC635D09-123C-46DB-99D4-3F37231D4791}">
  <ds:schemaRefs/>
</ds:datastoreItem>
</file>

<file path=customXml/itemProps17.xml><?xml version="1.0" encoding="utf-8"?>
<ds:datastoreItem xmlns:ds="http://schemas.openxmlformats.org/officeDocument/2006/customXml" ds:itemID="{F475E7AA-4772-4532-AA43-0579261DC8C4}">
  <ds:schemaRefs/>
</ds:datastoreItem>
</file>

<file path=customXml/itemProps18.xml><?xml version="1.0" encoding="utf-8"?>
<ds:datastoreItem xmlns:ds="http://schemas.openxmlformats.org/officeDocument/2006/customXml" ds:itemID="{30EE48DB-8C23-41F4-9A98-B23F8DCB378C}">
  <ds:schemaRefs/>
</ds:datastoreItem>
</file>

<file path=customXml/itemProps19.xml><?xml version="1.0" encoding="utf-8"?>
<ds:datastoreItem xmlns:ds="http://schemas.openxmlformats.org/officeDocument/2006/customXml" ds:itemID="{A5B7C3D5-1730-445B-AF67-49004D33652D}">
  <ds:schemaRefs/>
</ds:datastoreItem>
</file>

<file path=customXml/itemProps20.xml><?xml version="1.0" encoding="utf-8"?>
<ds:datastoreItem xmlns:ds="http://schemas.openxmlformats.org/officeDocument/2006/customXml" ds:itemID="{D6C821CA-99D0-4EFB-A975-B7FDAEBA92C7}">
  <ds:schemaRefs/>
</ds:datastoreItem>
</file>

<file path=customXml/itemProps21.xml><?xml version="1.0" encoding="utf-8"?>
<ds:datastoreItem xmlns:ds="http://schemas.openxmlformats.org/officeDocument/2006/customXml" ds:itemID="{A6BFE5E3-A9C6-451B-A8F7-B20114E4CEA3}">
  <ds:schemaRefs/>
</ds:datastoreItem>
</file>

<file path=customXml/itemProps22.xml><?xml version="1.0" encoding="utf-8"?>
<ds:datastoreItem xmlns:ds="http://schemas.openxmlformats.org/officeDocument/2006/customXml" ds:itemID="{112EC024-96C5-4FB8-9A4B-CF174024E45E}">
  <ds:schemaRefs/>
</ds:datastoreItem>
</file>

<file path=customXml/itemProps23.xml><?xml version="1.0" encoding="utf-8"?>
<ds:datastoreItem xmlns:ds="http://schemas.openxmlformats.org/officeDocument/2006/customXml" ds:itemID="{3997813E-9111-41CA-A9D5-71235976C2E3}">
  <ds:schemaRefs/>
</ds:datastoreItem>
</file>

<file path=customXml/itemProps24.xml><?xml version="1.0" encoding="utf-8"?>
<ds:datastoreItem xmlns:ds="http://schemas.openxmlformats.org/officeDocument/2006/customXml" ds:itemID="{E07C2A3F-6982-4D19-95A7-6BF9BFA40080}">
  <ds:schemaRefs>
    <ds:schemaRef ds:uri="http://schemas.microsoft.com/DataMashup"/>
  </ds:schemaRefs>
</ds:datastoreItem>
</file>

<file path=customXml/itemProps25.xml><?xml version="1.0" encoding="utf-8"?>
<ds:datastoreItem xmlns:ds="http://schemas.openxmlformats.org/officeDocument/2006/customXml" ds:itemID="{FA9467FF-3CC1-4149-A572-3CC7C3F96B91}">
  <ds:schemaRefs/>
</ds:datastoreItem>
</file>

<file path=customXml/itemProps26.xml><?xml version="1.0" encoding="utf-8"?>
<ds:datastoreItem xmlns:ds="http://schemas.openxmlformats.org/officeDocument/2006/customXml" ds:itemID="{75454D1A-C071-4B7E-B73A-44C1023F70C2}">
  <ds:schemaRefs/>
</ds:datastoreItem>
</file>

<file path=customXml/itemProps27.xml><?xml version="1.0" encoding="utf-8"?>
<ds:datastoreItem xmlns:ds="http://schemas.openxmlformats.org/officeDocument/2006/customXml" ds:itemID="{A29FFDBD-5E62-4018-82CA-86B74EE8F0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Mohamed Ebrahim Hamid Ayyad</dc:creator>
  <cp:lastModifiedBy>Amr Mohamed Ebrahim Hamid Ayyad</cp:lastModifiedBy>
  <dcterms:created xsi:type="dcterms:W3CDTF">2026-01-27T16:44:22Z</dcterms:created>
  <dcterms:modified xsi:type="dcterms:W3CDTF">2026-02-05T16:26:18Z</dcterms:modified>
</cp:coreProperties>
</file>